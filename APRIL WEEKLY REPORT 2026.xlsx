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23040" windowHeight="7920" firstSheet="18" activeTab="19"/>
  </bookViews>
  <sheets>
    <sheet name="APRI 1" sheetId="1" r:id="rId1"/>
    <sheet name="2ND" sheetId="2" r:id="rId2"/>
    <sheet name="3RD" sheetId="3" r:id="rId3"/>
    <sheet name="4TH" sheetId="4" r:id="rId4"/>
    <sheet name="MARKETRES WK1" sheetId="5" r:id="rId5"/>
    <sheet name="6TH" sheetId="7" r:id="rId6"/>
    <sheet name="7TH" sheetId="6" r:id="rId7"/>
    <sheet name="8TH" sheetId="8" r:id="rId8"/>
    <sheet name="9TH" sheetId="9" r:id="rId9"/>
    <sheet name="10TH" sheetId="10" r:id="rId10"/>
    <sheet name="11TH" sheetId="11" r:id="rId11"/>
    <sheet name="MARKETERS WK2" sheetId="13" r:id="rId12"/>
    <sheet name="13TH" sheetId="14" r:id="rId13"/>
    <sheet name="14TH" sheetId="15" r:id="rId14"/>
    <sheet name="15TH" sheetId="16" r:id="rId15"/>
    <sheet name="16TH" sheetId="17" r:id="rId16"/>
    <sheet name="17TH" sheetId="18" r:id="rId17"/>
    <sheet name="18TH" sheetId="19" r:id="rId18"/>
    <sheet name="MARKETERS WK3" sheetId="20" r:id="rId19"/>
    <sheet name="20TH" sheetId="21" r:id="rId20"/>
    <sheet name="Sheet1" sheetId="29" r:id="rId21"/>
    <sheet name="21ST" sheetId="22" r:id="rId22"/>
    <sheet name="22ND" sheetId="23" r:id="rId23"/>
    <sheet name="23RD" sheetId="24" r:id="rId24"/>
    <sheet name="24TH" sheetId="25" r:id="rId25"/>
    <sheet name="25TH" sheetId="28" r:id="rId26"/>
    <sheet name="MARKETING WK4" sheetId="26" r:id="rId27"/>
  </sheets>
  <externalReferences>
    <externalReference r:id="rId28"/>
    <externalReference r:id="rId29"/>
  </externalReferences>
  <definedNames>
    <definedName name="_xlnm._FilterDatabase" localSheetId="19" hidden="1">'20TH'!$A$1:$K$518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9" i="24" l="1"/>
  <c r="G105" i="23"/>
  <c r="H105" i="23" s="1"/>
  <c r="G104" i="23"/>
  <c r="G86" i="22"/>
  <c r="E21" i="26"/>
  <c r="E20" i="26"/>
  <c r="E19" i="26"/>
  <c r="E18" i="26"/>
  <c r="E14" i="26"/>
  <c r="E13" i="26"/>
  <c r="E12" i="26"/>
  <c r="E11" i="26"/>
  <c r="E8" i="26"/>
  <c r="E7" i="26"/>
  <c r="E6" i="26"/>
  <c r="E5" i="26"/>
  <c r="E21" i="20" l="1"/>
  <c r="E20" i="20"/>
  <c r="E19" i="20"/>
  <c r="E18" i="20"/>
  <c r="E14" i="20"/>
  <c r="E13" i="20"/>
  <c r="E12" i="20"/>
  <c r="E11" i="20"/>
  <c r="E8" i="20"/>
  <c r="E7" i="20"/>
  <c r="E6" i="20"/>
  <c r="E5" i="20"/>
  <c r="G90" i="18" l="1"/>
  <c r="G98" i="17"/>
  <c r="G99" i="16"/>
  <c r="G105" i="15"/>
  <c r="H10" i="15"/>
  <c r="J10" i="15" s="1"/>
  <c r="G118" i="14"/>
  <c r="I13" i="14"/>
  <c r="J13" i="14" s="1"/>
  <c r="H13" i="14"/>
  <c r="E21" i="13" l="1"/>
  <c r="E20" i="13"/>
  <c r="E19" i="13"/>
  <c r="E18" i="13"/>
  <c r="E14" i="13"/>
  <c r="E13" i="13"/>
  <c r="E12" i="13"/>
  <c r="E11" i="13"/>
  <c r="E8" i="13"/>
  <c r="E7" i="13"/>
  <c r="E6" i="13"/>
  <c r="E5" i="13"/>
  <c r="E21" i="5"/>
  <c r="E20" i="5"/>
  <c r="E19" i="5"/>
  <c r="E18" i="5"/>
  <c r="E14" i="5"/>
  <c r="E13" i="5"/>
  <c r="E12" i="5"/>
  <c r="E11" i="5"/>
  <c r="E8" i="5"/>
  <c r="E7" i="5"/>
  <c r="E6" i="5"/>
  <c r="E5" i="5"/>
  <c r="K55" i="11"/>
  <c r="K99" i="9"/>
  <c r="G151" i="8"/>
  <c r="H151" i="8" s="1"/>
  <c r="G150" i="8"/>
  <c r="I109" i="8"/>
  <c r="H109" i="8"/>
  <c r="I9" i="8"/>
  <c r="H9" i="8"/>
  <c r="G114" i="6"/>
  <c r="I10" i="6"/>
  <c r="H10" i="6"/>
  <c r="G19" i="7"/>
  <c r="H5" i="7"/>
  <c r="J5" i="7" s="1"/>
  <c r="G33" i="4"/>
  <c r="I8" i="4"/>
  <c r="H8" i="4"/>
  <c r="G27" i="3"/>
  <c r="H27" i="3" s="1"/>
  <c r="G26" i="3"/>
  <c r="H6" i="3"/>
  <c r="J6" i="3" s="1"/>
  <c r="G73" i="2"/>
  <c r="H10" i="2"/>
  <c r="G105" i="1"/>
  <c r="I64" i="1"/>
  <c r="J64" i="1" s="1"/>
  <c r="H64" i="1"/>
  <c r="I7" i="1"/>
  <c r="H7" i="1"/>
  <c r="J10" i="6" l="1"/>
  <c r="J8" i="4"/>
  <c r="J7" i="1"/>
  <c r="J9" i="8"/>
  <c r="J109" i="8"/>
</calcChain>
</file>

<file path=xl/sharedStrings.xml><?xml version="1.0" encoding="utf-8"?>
<sst xmlns="http://schemas.openxmlformats.org/spreadsheetml/2006/main" count="11359" uniqueCount="2355">
  <si>
    <t>LYDIA</t>
  </si>
  <si>
    <t>TARGET(DAILY)</t>
  </si>
  <si>
    <t>TARGET(WEEKLY)</t>
  </si>
  <si>
    <t>ACHIEVED</t>
  </si>
  <si>
    <t>%</t>
  </si>
  <si>
    <t>MRI</t>
  </si>
  <si>
    <t>CT</t>
  </si>
  <si>
    <t>U/S</t>
  </si>
  <si>
    <t>XRAY</t>
  </si>
  <si>
    <t>STELLA</t>
  </si>
  <si>
    <t>TARGET</t>
  </si>
  <si>
    <t>GRACE</t>
  </si>
  <si>
    <t>APRIL WK 1</t>
  </si>
  <si>
    <t>MARKETER</t>
  </si>
  <si>
    <t>DOCTOR</t>
  </si>
  <si>
    <t>SP</t>
  </si>
  <si>
    <t>PA</t>
  </si>
  <si>
    <t>TEL</t>
  </si>
  <si>
    <t>COMM</t>
  </si>
  <si>
    <t>Document Number</t>
  </si>
  <si>
    <t>Patient Name</t>
  </si>
  <si>
    <t>Customer/Vendor Name</t>
  </si>
  <si>
    <t>Item/Service Description</t>
  </si>
  <si>
    <t>Row Total</t>
  </si>
  <si>
    <t>CO. ERICK</t>
  </si>
  <si>
    <t>DANIEL KARANJA KIARE</t>
  </si>
  <si>
    <t>NBI Cash Customer</t>
  </si>
  <si>
    <t>C.T Scan Brain</t>
  </si>
  <si>
    <t>DR KEIZA NEW LIFE COTTAGE HOSP</t>
  </si>
  <si>
    <t>NC</t>
  </si>
  <si>
    <t>MOHAMUD TAAR</t>
  </si>
  <si>
    <t>MCU</t>
  </si>
  <si>
    <t>DR. FARAJ ALKIM</t>
  </si>
  <si>
    <t>COROZON BENTA AQUINO OMUGA</t>
  </si>
  <si>
    <t>Jubilee Insurance Company</t>
  </si>
  <si>
    <t>MRI Ankle</t>
  </si>
  <si>
    <t>DR FARAJ ALKIZIM</t>
  </si>
  <si>
    <t>NDAGANO AGANZE YVES</t>
  </si>
  <si>
    <t>Fidelity Shield Insurance Company Ltd</t>
  </si>
  <si>
    <t>MRI Knee</t>
  </si>
  <si>
    <t>DR DOROTHY ATHEMBO</t>
  </si>
  <si>
    <t>LANCE OSIRO</t>
  </si>
  <si>
    <t>DR NYAMEIRO HIFU</t>
  </si>
  <si>
    <t>BEATRICE N WANYONYI</t>
  </si>
  <si>
    <t>Liaison Healthcare Ltd</t>
  </si>
  <si>
    <t>MRI Pelvis</t>
  </si>
  <si>
    <t>UPPER HILL GASTROENTEROLOGY</t>
  </si>
  <si>
    <t>MAYMUN ISMAEL</t>
  </si>
  <si>
    <t>Abdomen AP</t>
  </si>
  <si>
    <t>DR MACHARIA NIVA CLINIC</t>
  </si>
  <si>
    <t>MARY NDUKU WAMBUA</t>
  </si>
  <si>
    <t>C.T Scan Abdomen &amp; Pelvis</t>
  </si>
  <si>
    <t>KENYA AIRWAYS PRIDE CLINIC (KQ) MULIRA</t>
  </si>
  <si>
    <t>naomi nyambura wanjiku</t>
  </si>
  <si>
    <t>C.T Scan Chest</t>
  </si>
  <si>
    <t>DR ANNE MWIKYA BRISTOLPARK</t>
  </si>
  <si>
    <t>BWANA, ANNE KERUBO</t>
  </si>
  <si>
    <t>MTIBA/Jubilee</t>
  </si>
  <si>
    <t>DR. MOTURI GEORGE</t>
  </si>
  <si>
    <t>MATHEW KIHANDA NJUGUNA</t>
  </si>
  <si>
    <t>APA Insurance Ltd</t>
  </si>
  <si>
    <t>C.T Scan Kidneys, Ureters and Bladder (KUB/ Urogram)</t>
  </si>
  <si>
    <t>DR. MBURU P.M (CAPITAL ENT)</t>
  </si>
  <si>
    <t>JACKLINE NYANDIA NYAWIRA</t>
  </si>
  <si>
    <t>AAR Insurance Limited</t>
  </si>
  <si>
    <t>C.T Scan Paranasal Sinuses</t>
  </si>
  <si>
    <t>DR MIRINGU KNH</t>
  </si>
  <si>
    <t>JOYCE WANGUI NJUGUNA</t>
  </si>
  <si>
    <t>C.T Urogram</t>
  </si>
  <si>
    <t>DR. OWITI MAUREEN</t>
  </si>
  <si>
    <t>WENDY ADISA KIDAHA</t>
  </si>
  <si>
    <t>HSG</t>
  </si>
  <si>
    <t>DR. SHITSAMA SYLVIA</t>
  </si>
  <si>
    <t>JOSEPH THUITA KARIUKI</t>
  </si>
  <si>
    <t>MRI Brain</t>
  </si>
  <si>
    <t>MO BISHAR ALI</t>
  </si>
  <si>
    <t>YASMIN DAUD ISSACK</t>
  </si>
  <si>
    <t>DR. NGARE STANLEY</t>
  </si>
  <si>
    <t>CAROLINE NJERI</t>
  </si>
  <si>
    <t>British American Insurance</t>
  </si>
  <si>
    <t>DR. KINYANJUI DAVID</t>
  </si>
  <si>
    <t>JOSEPH GICHAE MUREITHI</t>
  </si>
  <si>
    <t>DR. ODONGO CALISTO KNH</t>
  </si>
  <si>
    <t>JAMES KARIUKI</t>
  </si>
  <si>
    <t>MRI Lumbar Spine</t>
  </si>
  <si>
    <t>PROF. GAKUU</t>
  </si>
  <si>
    <t>ANTHONY MUYA WANGURU</t>
  </si>
  <si>
    <t>MTIBA - APA</t>
  </si>
  <si>
    <t xml:space="preserve">DR. WEHELIYE C/O JAMILA NAIROBI SOUTH </t>
  </si>
  <si>
    <t>MARYANRUN MAHAMED MAALIM</t>
  </si>
  <si>
    <t>DR. BOORE JOHN</t>
  </si>
  <si>
    <t>HAMIS KAI HAMIS</t>
  </si>
  <si>
    <t>MRI Mobiviews Lumbar Spine</t>
  </si>
  <si>
    <t>KENYA AIRWAYS PRIDE CLINIC (KQ) REAGAN</t>
  </si>
  <si>
    <t>SUSAN NYAMBURA</t>
  </si>
  <si>
    <t>MRI Neck and the PostNasal Space</t>
  </si>
  <si>
    <t>DR. NTHIWA CAROLINE</t>
  </si>
  <si>
    <t>KENNY KIMANI KAMAU</t>
  </si>
  <si>
    <t>MRI Prostate Multi-parametric</t>
  </si>
  <si>
    <t>RFH HEALTHCARE</t>
  </si>
  <si>
    <t>IRENE KANINI MUGWUKU</t>
  </si>
  <si>
    <t>MRI Whole Body (DWIBS)</t>
  </si>
  <si>
    <t>DR. KIRAITU MIRITI</t>
  </si>
  <si>
    <t>SUSAN KARIMI MURIITHI</t>
  </si>
  <si>
    <t>Ultrasound Abdomen</t>
  </si>
  <si>
    <t>DR. MUIA JULIUS</t>
  </si>
  <si>
    <t>BEATRICE</t>
  </si>
  <si>
    <t>SUSAN WAKIURI NGECHU</t>
  </si>
  <si>
    <t>DR. KARANU JOSEPH</t>
  </si>
  <si>
    <t>REGINA KATUNGWA NZIOKI</t>
  </si>
  <si>
    <t>Ultrasound Abdomino-pelvic</t>
  </si>
  <si>
    <t>DR. OMULO TOM</t>
  </si>
  <si>
    <t>MARY WAMBAIRE</t>
  </si>
  <si>
    <t>Ultrasound Doppler Venous, Unilateral</t>
  </si>
  <si>
    <t>DR. KINOTI NDEGE</t>
  </si>
  <si>
    <t>BENSON NJOROGE</t>
  </si>
  <si>
    <t>Ultrasound Kidneys, Ureter, Bladder &amp; Prostate (KUBP)</t>
  </si>
  <si>
    <t>KENYATTA NATIONAL HOSPITAL (KNH)</t>
  </si>
  <si>
    <t>IRENE GATWIRI</t>
  </si>
  <si>
    <t>Ultrasound Neck</t>
  </si>
  <si>
    <t>DR REBECCA KNH</t>
  </si>
  <si>
    <t>JOSIAH KIRAGU</t>
  </si>
  <si>
    <t>COPTIC HOSPITAL</t>
  </si>
  <si>
    <t>CLAUDIA IPATO SEENOI</t>
  </si>
  <si>
    <t>Ultrasound Obstetric</t>
  </si>
  <si>
    <t>DR. WACHIRA SAMUEL</t>
  </si>
  <si>
    <t>BOL JONG ROOR</t>
  </si>
  <si>
    <t>DR. JANE MACHIRA</t>
  </si>
  <si>
    <t>ALIYA MOHAMED IBRAHIM</t>
  </si>
  <si>
    <t>Ultrasound Pelvic</t>
  </si>
  <si>
    <t>DR. OWENDE PHILOMENA</t>
  </si>
  <si>
    <t>GLADYS NYAMBURA</t>
  </si>
  <si>
    <t>THE NAIROBI SOUTH HOSPITAL</t>
  </si>
  <si>
    <t>HAFSA ABDIWELI MOHAMED</t>
  </si>
  <si>
    <t>Ultrasound Pelvic (Transvaginal)</t>
  </si>
  <si>
    <t>PROF. OYOO OMONDI</t>
  </si>
  <si>
    <t>PETER WACHIRA</t>
  </si>
  <si>
    <t>Ultrasound Regional - MSK</t>
  </si>
  <si>
    <t>SUSAN CHEGE</t>
  </si>
  <si>
    <t>Ultrasound Renal with Doppler Studies</t>
  </si>
  <si>
    <t>ELIJAH SOI KIPKEMOI</t>
  </si>
  <si>
    <t>Xray both Knee Joints</t>
  </si>
  <si>
    <t>Xray Chest, PA</t>
  </si>
  <si>
    <t>DR. OWUOR ANDREW</t>
  </si>
  <si>
    <t>MARY KEMUNTO NYANGENI</t>
  </si>
  <si>
    <t>SAFIA MOHAMED</t>
  </si>
  <si>
    <t>DR KAMURI. E. N.</t>
  </si>
  <si>
    <t>ELEANOR LUNANI</t>
  </si>
  <si>
    <t>DR GEORGE OMONDI</t>
  </si>
  <si>
    <t>MARY AWINO</t>
  </si>
  <si>
    <t>Xray Hand</t>
  </si>
  <si>
    <t>RAMADHAN BARASA</t>
  </si>
  <si>
    <t>Xray Lumbosacral Spine, Dynamic (Flexion &amp; Extension)</t>
  </si>
  <si>
    <t>MR. QURESHI MOHAMMED</t>
  </si>
  <si>
    <t>MOHAMED DIRIYE</t>
  </si>
  <si>
    <t>Sedation</t>
  </si>
  <si>
    <t>DR BATUL AAR ICEA</t>
  </si>
  <si>
    <t>VICTOR MULWA MUTUNGA</t>
  </si>
  <si>
    <t>DR J. N. MUIRU</t>
  </si>
  <si>
    <t>SHINAZ REHEMA ALI</t>
  </si>
  <si>
    <t>CIC Insurance</t>
  </si>
  <si>
    <t>MOHAMUD DIRIYE</t>
  </si>
  <si>
    <t>DR JAMES KIGERA</t>
  </si>
  <si>
    <t>VERA ADHIAMBO OUMA</t>
  </si>
  <si>
    <t>AAR HEALTHCARE - CITY CENTRE ATONI</t>
  </si>
  <si>
    <t>ROSE ACHIENG OTIENO</t>
  </si>
  <si>
    <t>DR. EKWOM PAUL</t>
  </si>
  <si>
    <t>SHAYANNE SELLAH OLOO</t>
  </si>
  <si>
    <t>MRI Tibia/ Fibula</t>
  </si>
  <si>
    <t>CO. NTIWATI LABAN (EABL)</t>
  </si>
  <si>
    <t>SELPHA WANGA</t>
  </si>
  <si>
    <t>PROF. WANJALA SAMSON</t>
  </si>
  <si>
    <t>SR. ROSELYNE MOSOTA</t>
  </si>
  <si>
    <t>SR. BEATRICE COSMOS KIMANI</t>
  </si>
  <si>
    <t>DR. IKOL JAMES</t>
  </si>
  <si>
    <t>JACINTA</t>
  </si>
  <si>
    <t>0722808800</t>
  </si>
  <si>
    <t>JAMES MWANGI NGUGI</t>
  </si>
  <si>
    <t>DR. ASIMBA MESCHACH</t>
  </si>
  <si>
    <t>MERCY KARAGI</t>
  </si>
  <si>
    <t>DR. MUTISO ERICK</t>
  </si>
  <si>
    <t>FAITH KERUBO BARONGO</t>
  </si>
  <si>
    <t>DR. OCHUNGO PETER</t>
  </si>
  <si>
    <t>GIANA YONGA</t>
  </si>
  <si>
    <t>Xray Lateral Postnasal Space and Adenoids</t>
  </si>
  <si>
    <t>X</t>
  </si>
  <si>
    <t>DR. OBURU EZEKIEL</t>
  </si>
  <si>
    <t>SUMEYA ABDI</t>
  </si>
  <si>
    <t>C.T Tibia &amp; Fibula</t>
  </si>
  <si>
    <t>SELF</t>
  </si>
  <si>
    <t>ADAMS NYARIBO MOCHENWA</t>
  </si>
  <si>
    <t>MILKA WANJIKU</t>
  </si>
  <si>
    <t>DR. KIMANI MOSES (M.M)</t>
  </si>
  <si>
    <t>GLORIA NYABOKE MICHIRA</t>
  </si>
  <si>
    <t>SIMON GITAU MUGI</t>
  </si>
  <si>
    <t>MRI Shoulder</t>
  </si>
  <si>
    <t>DR. ODUOR OWINO P.A</t>
  </si>
  <si>
    <t>NETLY SILPA MISURA</t>
  </si>
  <si>
    <t>AON Minet Kenya Ins Brokers</t>
  </si>
  <si>
    <t>MRI Wrist</t>
  </si>
  <si>
    <t>OBWOCHA WINNIE GESARE</t>
  </si>
  <si>
    <t>UAP Old Mutual Kenya</t>
  </si>
  <si>
    <t>ROSE WANGUI GITARI</t>
  </si>
  <si>
    <t>DR ABDULLAHI</t>
  </si>
  <si>
    <t>IKRA MOHAMED</t>
  </si>
  <si>
    <t>DR NGANGA</t>
  </si>
  <si>
    <t>MUSTAF YASSIN</t>
  </si>
  <si>
    <t>Ultrasound Scrotum and Testes</t>
  </si>
  <si>
    <t>NAIROBI SPINE</t>
  </si>
  <si>
    <t>HANNAH NYAMBURA</t>
  </si>
  <si>
    <t>Nairobi Spine &amp; Orthopaedic Centre</t>
  </si>
  <si>
    <t>Xray Ankle Joint</t>
  </si>
  <si>
    <t>ABDULLAHI LIBAAN MUHAMED</t>
  </si>
  <si>
    <t>DR ABNER BARONGO</t>
  </si>
  <si>
    <t>PETRONILA KAHENYA</t>
  </si>
  <si>
    <t>PROFESSOR KINUTHIA</t>
  </si>
  <si>
    <t>GRACE WAMBUI KARIUKI</t>
  </si>
  <si>
    <t>FATUMA HUSSEIN</t>
  </si>
  <si>
    <t>LILIAN DIODIO</t>
  </si>
  <si>
    <t>MITCHEL ATIENO</t>
  </si>
  <si>
    <t>Xray Elbow Joint</t>
  </si>
  <si>
    <t>DAHIR SHUKRI HARET</t>
  </si>
  <si>
    <t>Xray Foot</t>
  </si>
  <si>
    <t>ZAKARIA CHERUIYOT</t>
  </si>
  <si>
    <t>LYDIA KEMUNTO SINGORE</t>
  </si>
  <si>
    <t>FLORENCE WANJIRU</t>
  </si>
  <si>
    <t>Xray Knee, AP and Lateral</t>
  </si>
  <si>
    <t>MRS MARGARET NTHUMBI</t>
  </si>
  <si>
    <t>ALLAN KAPTEN</t>
  </si>
  <si>
    <t>Xray Leg Tibia and Fibula (Leg)</t>
  </si>
  <si>
    <t>GLORIAH NYABOKE  MICHIRA</t>
  </si>
  <si>
    <t>Xray Lumbar Sacral Spine, AP and Lateral</t>
  </si>
  <si>
    <t>SALLY SELEYIAN MUTHAMA</t>
  </si>
  <si>
    <t>Xray Pelvis</t>
  </si>
  <si>
    <t>BERNAD MULAA IVULI</t>
  </si>
  <si>
    <t>HAIMA ABDULLAHI HASSAN</t>
  </si>
  <si>
    <t>ELIZABETH KUNTAI</t>
  </si>
  <si>
    <t>Xray Shoulder Joint</t>
  </si>
  <si>
    <t>DR AIDEED</t>
  </si>
  <si>
    <t>JORDAN JUNIOR MWANIKI</t>
  </si>
  <si>
    <t>DR JOB OBWAKA</t>
  </si>
  <si>
    <t>NAOMI OMBATI</t>
  </si>
  <si>
    <t>DR. IKOL JAMES MADINA HOSPITAL</t>
  </si>
  <si>
    <t>ABDIRAHMAN MOHAMED YASIR</t>
  </si>
  <si>
    <t>DR. ONDIEGE</t>
  </si>
  <si>
    <t>ESTHER AWINO OKELLO</t>
  </si>
  <si>
    <t>Kenbright Healthcare Administrators</t>
  </si>
  <si>
    <t>WERE</t>
  </si>
  <si>
    <t>JANE  KORDUNI SAINGO</t>
  </si>
  <si>
    <t>WEST PARK HOPITAL</t>
  </si>
  <si>
    <t>AYAN YUNIS</t>
  </si>
  <si>
    <t>DR WANDABWA</t>
  </si>
  <si>
    <t>PROF.OKETE SHIROYA</t>
  </si>
  <si>
    <t>VERONICA WANGARI WACHIRA</t>
  </si>
  <si>
    <t>DR. KIMANI THARAO</t>
  </si>
  <si>
    <t>JANE WANGARI MURIMI</t>
  </si>
  <si>
    <t>SUSAN WANGUI NGANGA</t>
  </si>
  <si>
    <t>DR MUGAMBI</t>
  </si>
  <si>
    <t>HALIMA ALI MOHAMMED</t>
  </si>
  <si>
    <t>C.T Scan Lumbar Spine</t>
  </si>
  <si>
    <t>DR. MAINA ANNE</t>
  </si>
  <si>
    <t>VEER  LUHAR</t>
  </si>
  <si>
    <t>VEER LUHAR</t>
  </si>
  <si>
    <t>DR. NJOGU PAUL</t>
  </si>
  <si>
    <t>BETH NJERI KARANJA</t>
  </si>
  <si>
    <t>AGNES NDUNGE SAMMY</t>
  </si>
  <si>
    <t>CT of the abdomen (+contrast)</t>
  </si>
  <si>
    <t>ERIC NGAIRA</t>
  </si>
  <si>
    <t>DR. MURAGE MARTIN</t>
  </si>
  <si>
    <t>JOHN NDUNDA KILUMA</t>
  </si>
  <si>
    <t>MRI Abdomen &amp; Pelvis</t>
  </si>
  <si>
    <t>DR. KAMAU EDNA</t>
  </si>
  <si>
    <t>EVA MKEMBA KIARA</t>
  </si>
  <si>
    <t>DR MERCY MULIRA</t>
  </si>
  <si>
    <t>FRANCIS ORWARU</t>
  </si>
  <si>
    <t>MRI Femur</t>
  </si>
  <si>
    <t>DR. NYAMBURA PERIS RONGAI ORTHOPEDIC</t>
  </si>
  <si>
    <t>GRACE MIKI KARANJA</t>
  </si>
  <si>
    <t>NOOR TAHIR ADAN</t>
  </si>
  <si>
    <t>HUMPREY KARIUKI</t>
  </si>
  <si>
    <t>MRI Mobiviews Whole Spine</t>
  </si>
  <si>
    <t>MERCY WAWIRA NGARI</t>
  </si>
  <si>
    <t>ZIPPORAH NJERI NGOME</t>
  </si>
  <si>
    <t>PROF. KAYIMA JOSHUA</t>
  </si>
  <si>
    <t>DRUSILIAH ADHIAMBO MADII</t>
  </si>
  <si>
    <t>Ultrasound Kidneys, Ureter, Bladder (KUB) Female</t>
  </si>
  <si>
    <t>LOVINE ACHIENG OBUYA</t>
  </si>
  <si>
    <t>PAULINE WANJIKU  NYARAMBA</t>
  </si>
  <si>
    <t>ARBE HARO</t>
  </si>
  <si>
    <t>DR. MONDA BRIGID</t>
  </si>
  <si>
    <t>LAURA GRACE MWIHAKI</t>
  </si>
  <si>
    <t>FLORENCE MUCHAI</t>
  </si>
  <si>
    <t>Ultrasound Thyroid</t>
  </si>
  <si>
    <t>DR. GITARI DANIEL</t>
  </si>
  <si>
    <t>ANN COMFORT</t>
  </si>
  <si>
    <t>DR. MARU MICHAEL</t>
  </si>
  <si>
    <t>IVAN MJAMBILI</t>
  </si>
  <si>
    <t>DR. OMBACHI BWANA</t>
  </si>
  <si>
    <t>AGNES NYOKABI NDEGWA</t>
  </si>
  <si>
    <t>Xray both Knees (Additional Views)</t>
  </si>
  <si>
    <t>DR. MUSILA GIBSON</t>
  </si>
  <si>
    <t>MARY AMUOR</t>
  </si>
  <si>
    <t>DR. CHAKAYA JEREMIAH</t>
  </si>
  <si>
    <t>AHMED ABDULLAHI MOHAMUD</t>
  </si>
  <si>
    <t>JUSTICE KIPROTICH RONO</t>
  </si>
  <si>
    <t>First Assurance</t>
  </si>
  <si>
    <t>KENYA AIRWAYS PRIDE CLINIC DR ERIC</t>
  </si>
  <si>
    <t>JANE WANJIRU NGURO</t>
  </si>
  <si>
    <t>DR WAHOME PRODIGY</t>
  </si>
  <si>
    <t>PRECIOUS NJERI MUCHOKI</t>
  </si>
  <si>
    <t>DR. MUGWE PETER</t>
  </si>
  <si>
    <t>SUSAN NJOKI NJUGUNA</t>
  </si>
  <si>
    <t>DR. KEBASO BRADLEY NAIROBI BONES AND JOINTS</t>
  </si>
  <si>
    <t>ABDULLAHI YUSSUF NUNOW</t>
  </si>
  <si>
    <t>MRI Both Ankles</t>
  </si>
  <si>
    <t>NAOMI KAJERU</t>
  </si>
  <si>
    <t>MRI Cervical Spine</t>
  </si>
  <si>
    <t>PROF. BYAKIKA TIMOTHY</t>
  </si>
  <si>
    <t>SHEIKH ABDULAHI AHMED</t>
  </si>
  <si>
    <t>DR MOSES MBUTHU AKU T MALL</t>
  </si>
  <si>
    <t>MASUKU NOMAKHOSI</t>
  </si>
  <si>
    <t>RFH HEALTHCARE BARANGO</t>
  </si>
  <si>
    <t>FRAKLINE KAMANDE</t>
  </si>
  <si>
    <t>DR ABNER BARONGO RFH</t>
  </si>
  <si>
    <t>VANIEL LUPITA NGWALA</t>
  </si>
  <si>
    <t>ELIZABETH MUTHUE SOI</t>
  </si>
  <si>
    <t>GEOFREY KACUUNU</t>
  </si>
  <si>
    <t>Xray both Shoulder Joints</t>
  </si>
  <si>
    <t>DR. JEFF MAILU NAIROBI HOSPITAL.</t>
  </si>
  <si>
    <t>IAN MUNENE</t>
  </si>
  <si>
    <t>DR. MUKABANA EGLAY</t>
  </si>
  <si>
    <t>MARY KACHE KYALO</t>
  </si>
  <si>
    <t>NAIROBI HOSPITAL</t>
  </si>
  <si>
    <t>JEMIMAH MUTHONI KAMITI</t>
  </si>
  <si>
    <t>Nairobi Hospital</t>
  </si>
  <si>
    <t>MRI Chest/ Chest Wall</t>
  </si>
  <si>
    <t>CHRISTINE NJERU</t>
  </si>
  <si>
    <t>Ultrasound Breast</t>
  </si>
  <si>
    <t>ANNE WAMBUI GICHUI</t>
  </si>
  <si>
    <t>DAMACLYN MENGE</t>
  </si>
  <si>
    <t>FRIDAH KINYA</t>
  </si>
  <si>
    <t>MELCHIZEDEK MELTUS</t>
  </si>
  <si>
    <t>DR. SOLANKI JAY</t>
  </si>
  <si>
    <t>VICTOR SHILESI ALUFWANI</t>
  </si>
  <si>
    <t>DR. RAJESH CHAUDHARY</t>
  </si>
  <si>
    <t>WHITNEY AGUKO</t>
  </si>
  <si>
    <t>DR PATIENT MATATA FREMO</t>
  </si>
  <si>
    <t>DICKSON RUMBANYI HENRY</t>
  </si>
  <si>
    <t>DR. MAHENDRA</t>
  </si>
  <si>
    <t>GEORGE OWINO</t>
  </si>
  <si>
    <t>DR. M. S Chouhan</t>
  </si>
  <si>
    <t>DR. ISAAC CHETAMBE</t>
  </si>
  <si>
    <t>HELLEN WANJIKU KIMANI</t>
  </si>
  <si>
    <t>MRI Brain MRA/ MRV</t>
  </si>
  <si>
    <t>DR EDWARD NGUYO</t>
  </si>
  <si>
    <t>JUDITH KHALUHI MWANJE</t>
  </si>
  <si>
    <t>MRI Brain/ Pituiatry Gland Dynamic Imaging</t>
  </si>
  <si>
    <t>JOHN MUNENE</t>
  </si>
  <si>
    <t>DR ISMAIL HASSAN NAIROBI SOUTH</t>
  </si>
  <si>
    <t>ALI GURE AFEY</t>
  </si>
  <si>
    <t>C.T of the Chest &amp; Abdomen</t>
  </si>
  <si>
    <t>DR. AMINA AAR GREENHOUSE</t>
  </si>
  <si>
    <t>IAN GAITHO GICHUHI</t>
  </si>
  <si>
    <t>DR VANESSA ODUNDO</t>
  </si>
  <si>
    <t>EUCABET CINDY OLERO</t>
  </si>
  <si>
    <t>NEVILLE  MATOKE  NYAMARI</t>
  </si>
  <si>
    <t>MRI Foot</t>
  </si>
  <si>
    <t>DR. GENGA EUGENE</t>
  </si>
  <si>
    <t>JEMIMAH NJERI MUCHIRI</t>
  </si>
  <si>
    <t>DR. DAVID MWAURA</t>
  </si>
  <si>
    <t>MARY WAITHERERO WAMBUGU</t>
  </si>
  <si>
    <t>DR. KIBUGA GEOFREY</t>
  </si>
  <si>
    <t>SAID HASSAN HUSSEIN</t>
  </si>
  <si>
    <t>Xray Bilateral Feet</t>
  </si>
  <si>
    <t>MARIAM AHMED DUBAD</t>
  </si>
  <si>
    <t>DR. WABOMBA PATRICK</t>
  </si>
  <si>
    <t>KEN AGWARO</t>
  </si>
  <si>
    <t>DR GATHARE</t>
  </si>
  <si>
    <t>AEDEL JESHURUN KINYANJUI</t>
  </si>
  <si>
    <t>DR SHIRLEY NAIROBI HOSP</t>
  </si>
  <si>
    <t>LOYCE MUTONGOI MUTIE</t>
  </si>
  <si>
    <t>DR. KARUME M.O</t>
  </si>
  <si>
    <t>MERCY NAMAROME BARASA</t>
  </si>
  <si>
    <t>Ultrasound Follicular Tracking</t>
  </si>
  <si>
    <t>HILDA ARUSEI</t>
  </si>
  <si>
    <t>DR MURIGI M</t>
  </si>
  <si>
    <t>BIRIK ABDIRAHAMAN</t>
  </si>
  <si>
    <t>ELSA OPIYO</t>
  </si>
  <si>
    <t>JALAR YUMA</t>
  </si>
  <si>
    <t>TOTAL</t>
  </si>
  <si>
    <t>EQUITY AFIA KAWANGARE</t>
  </si>
  <si>
    <t>FELIX OMONDI  OLUM</t>
  </si>
  <si>
    <t>DR STEVE MANKONE NRB HOSP</t>
  </si>
  <si>
    <t>MICHAEL KIMWELE</t>
  </si>
  <si>
    <t>MRI Both Knees</t>
  </si>
  <si>
    <t>AAR HEALTHCARE - WILLIAMSON</t>
  </si>
  <si>
    <t>HIBO FARAH BUH</t>
  </si>
  <si>
    <t>Allianz Partners (AZP)</t>
  </si>
  <si>
    <t>RUTH NDUKU</t>
  </si>
  <si>
    <t>DR. MIANO PAUL</t>
  </si>
  <si>
    <t>GRACE NYAKINYWA MWANGI</t>
  </si>
  <si>
    <t>CO. MUGAMBI JACKLINE</t>
  </si>
  <si>
    <t>BRENDA KATANA</t>
  </si>
  <si>
    <t>DR. ABUOR CLINTON LANGATA HOSPITAL</t>
  </si>
  <si>
    <t>ESTHER MATETE SHIYUKA</t>
  </si>
  <si>
    <t>C.T Scan Ankle &amp; Foot</t>
  </si>
  <si>
    <t>JAMAA MISSION HOSPITAL OLUGA</t>
  </si>
  <si>
    <t>CAROLINE WAITHERA MIRINGU</t>
  </si>
  <si>
    <t>DEBORAH KATUNGWA MUTUKU</t>
  </si>
  <si>
    <t>CO. OBED GURUNANAK</t>
  </si>
  <si>
    <t>JANET CHEROP JEPKOTON</t>
  </si>
  <si>
    <t>KCB Bancassurance Intermediary Limited</t>
  </si>
  <si>
    <t>DR.HASSAN NRB SOUTH HOSPITAL</t>
  </si>
  <si>
    <t>IFTIN ABDULLAHI AHMED</t>
  </si>
  <si>
    <t>BRISTOL PARK HOSPITAL</t>
  </si>
  <si>
    <t>MILKA WANJIKU WANJIKU</t>
  </si>
  <si>
    <t>MRI Hip</t>
  </si>
  <si>
    <t>KENYA AIRWAYS PRIDE CLINIC (KQ) NYAGA</t>
  </si>
  <si>
    <t>Rachael Hangaila Inyumili</t>
  </si>
  <si>
    <t>ATHUMAN KADOGOO</t>
  </si>
  <si>
    <t>DR. WAIHENYA GITHIAKA</t>
  </si>
  <si>
    <t>ALVIN GITONGA</t>
  </si>
  <si>
    <t>PROF. OGUTU ELLY</t>
  </si>
  <si>
    <t>TABITHA AWINO OGADA</t>
  </si>
  <si>
    <t>DR. KIPINGOR MUSA</t>
  </si>
  <si>
    <t>DUNCAN OKEYO OKUMU</t>
  </si>
  <si>
    <t>DR. NYAGA SAMUEL NRB HOSP</t>
  </si>
  <si>
    <t>NATASHA</t>
  </si>
  <si>
    <t>0714295872</t>
  </si>
  <si>
    <t>LEAH KARIMI KABARA</t>
  </si>
  <si>
    <t>DR. ONYAMBU BARCLAY ANK WOMEN</t>
  </si>
  <si>
    <t>EVERLINE NYAMBEKI MAROBA</t>
  </si>
  <si>
    <t>PROF NANGOLE WANJALA</t>
  </si>
  <si>
    <t>MILLICENT NKATHA MBIYU</t>
  </si>
  <si>
    <t>DR MARY WANGAI AGAKHAN</t>
  </si>
  <si>
    <t>MARY ATIENO OCHIENG OWINO</t>
  </si>
  <si>
    <t>VISTA HOSPITAL</t>
  </si>
  <si>
    <t>ABDIMALIK MOHAMMED ISSACK</t>
  </si>
  <si>
    <t>DR. WANJIRU ROSEMARY</t>
  </si>
  <si>
    <t>LINDA MAKANGA</t>
  </si>
  <si>
    <t>DR GRAY MUKUZI NRB HOSPITAL</t>
  </si>
  <si>
    <t>NIA NYOTU</t>
  </si>
  <si>
    <t>SHARON JEBET</t>
  </si>
  <si>
    <t>VIVIAN KESILAI NTARI</t>
  </si>
  <si>
    <t>SAADIA YUSUF HUSSEIN</t>
  </si>
  <si>
    <t>DAHIR MARYAN DUBOW</t>
  </si>
  <si>
    <t>KIRABO WINFRED LAURA ZOE</t>
  </si>
  <si>
    <t>ST. SCHOLASTICA UZIMA HOSP.</t>
  </si>
  <si>
    <t>SYLVIA NASHIPAYI KARANTOI</t>
  </si>
  <si>
    <t>HEALTHGATE</t>
  </si>
  <si>
    <t>ABDIFATAH HUSSEIN AHMED</t>
  </si>
  <si>
    <t>EQUITY AFIA KAHAWA SUKARI</t>
  </si>
  <si>
    <t>BRIAN KIBET KIPTOO</t>
  </si>
  <si>
    <t>DR ROBERT MAINA</t>
  </si>
  <si>
    <t>ROBERT NGUARE MWANGI</t>
  </si>
  <si>
    <t>DR. ABDUL KNH</t>
  </si>
  <si>
    <t>YASSIN MOHAMMED</t>
  </si>
  <si>
    <t>DR. IRUNGU KAREN HOSP</t>
  </si>
  <si>
    <t>SILVESTER MOIRE ONTITI</t>
  </si>
  <si>
    <t>JUDY GATHIGIA MAINA</t>
  </si>
  <si>
    <t>Co-operative Bank of Kenya Ltd.</t>
  </si>
  <si>
    <t>SAMUEL WACHIRA</t>
  </si>
  <si>
    <t>KEAFON NCHITOR</t>
  </si>
  <si>
    <t>PROF. MACHARIA MUTHURE</t>
  </si>
  <si>
    <t>ERICK  RUTAGWENDA MUYENZI</t>
  </si>
  <si>
    <t>C.T HRCT Chest</t>
  </si>
  <si>
    <t>NURIA GABOW IBRAHIM</t>
  </si>
  <si>
    <t>DR. OLUGA EVANS</t>
  </si>
  <si>
    <t>HENRY OGOYE</t>
  </si>
  <si>
    <t>ENT NAIROBI HOSPITAL</t>
  </si>
  <si>
    <t>NYOKUNI ENE</t>
  </si>
  <si>
    <t>PROF. ATINGA JOHN E.O</t>
  </si>
  <si>
    <t>SUSAN WAIRURI KAMAU</t>
  </si>
  <si>
    <t>ROSE OCHWADA</t>
  </si>
  <si>
    <t>DR. KIBII DAVIES</t>
  </si>
  <si>
    <t>AMINA FEKI RAJAF</t>
  </si>
  <si>
    <t>DR. MULATIA MOMBASA LAMBAROSCOPY</t>
  </si>
  <si>
    <t>VANESSA CHACHA</t>
  </si>
  <si>
    <t>MARY NYOKABI MWANGI</t>
  </si>
  <si>
    <t>MARTIN KIMOTHO GATHITU</t>
  </si>
  <si>
    <t>DR. DENG METROPOLITAN</t>
  </si>
  <si>
    <t>DAVID ODONGO OGINGA</t>
  </si>
  <si>
    <t>The Heritage A.I.I. Insurance Company Ltd</t>
  </si>
  <si>
    <t>MRI Fistulogram</t>
  </si>
  <si>
    <t>EQUITY AFIA GITHURAI</t>
  </si>
  <si>
    <t>MARYPHANUS MATARA</t>
  </si>
  <si>
    <t>MRI Forearm</t>
  </si>
  <si>
    <t>DR. ONDIEGE JAMES</t>
  </si>
  <si>
    <t>YVONNE GAKII KAREMU</t>
  </si>
  <si>
    <t>DR. DENG  LIFECARE</t>
  </si>
  <si>
    <t>ANTHONY NJEHU</t>
  </si>
  <si>
    <t>PAUL  NGANGA KAMAU</t>
  </si>
  <si>
    <t>SAYNEB HOSSAN ZEYNAB</t>
  </si>
  <si>
    <t>ABRAHAM KIOKO</t>
  </si>
  <si>
    <t>Xray Clavicle</t>
  </si>
  <si>
    <t>STELLA NJERI</t>
  </si>
  <si>
    <t>ASHA ADEN NOOR</t>
  </si>
  <si>
    <t>NUUMAN MOHAMED</t>
  </si>
  <si>
    <t>C.T Peripheral Angiogram</t>
  </si>
  <si>
    <t>C.T Pulmonary Angiogram (CTPA)</t>
  </si>
  <si>
    <t>MUTHII PURITY NYAKIO</t>
  </si>
  <si>
    <t>C.T Scan Brain with Cerebral Angiogram (Brain with CTA/ CTV)</t>
  </si>
  <si>
    <t>GRACE MUTHONI GACHIHI</t>
  </si>
  <si>
    <t>ROSEMARY WANJA WAMBUGU</t>
  </si>
  <si>
    <t>DR. KIRUGO KEAGAN</t>
  </si>
  <si>
    <t>BONIFACE KAKA MUTUA</t>
  </si>
  <si>
    <t>DENNIS NDEGE</t>
  </si>
  <si>
    <t>DRUSILLAH ADHIAMBO</t>
  </si>
  <si>
    <t>DR. OMAR MOHAMED TAWIL</t>
  </si>
  <si>
    <t>DOLL OMAR HADLE</t>
  </si>
  <si>
    <t>DR. MUNYI STEPHEN (S.T)</t>
  </si>
  <si>
    <t>MUHSIN MOHAMED</t>
  </si>
  <si>
    <t>DR SAMMY KYALO</t>
  </si>
  <si>
    <t>NAOMI WANGARI WAMBUGU</t>
  </si>
  <si>
    <t>DR. KAISHA WYCLIFFE</t>
  </si>
  <si>
    <t>LYNET AKOTH  OCHIENG</t>
  </si>
  <si>
    <t>MRI Cholangiopancreaticography (MRCP)</t>
  </si>
  <si>
    <t>DR VANESSA ODUNDO KQ PRIDE CLINIC</t>
  </si>
  <si>
    <t>DOUGLAS GITUMA</t>
  </si>
  <si>
    <t>FAITH WANJIRU GACAU</t>
  </si>
  <si>
    <t>MARY WANJIKU  NYOIKE</t>
  </si>
  <si>
    <t>PHILOMENA NJERI MWANGI</t>
  </si>
  <si>
    <t xml:space="preserve"> NAIROBI  SOUTH HOSPITAL</t>
  </si>
  <si>
    <t>FARDOSA IBRAHIM SHEIKH</t>
  </si>
  <si>
    <t>PETER ODERA</t>
  </si>
  <si>
    <t>NANCY SIAN</t>
  </si>
  <si>
    <t>CATHERINE NYAMBURA WAHOME</t>
  </si>
  <si>
    <t>DR. AJUA ALEMANJI</t>
  </si>
  <si>
    <t>GEOFFREY KIMANI</t>
  </si>
  <si>
    <t>HELLEN MOTONEI</t>
  </si>
  <si>
    <t>DR. OYIRO PETER</t>
  </si>
  <si>
    <t>MARY GACHERI</t>
  </si>
  <si>
    <t>COLLINS ODUOR</t>
  </si>
  <si>
    <t>SAMUEL WAINAINA CHEGE</t>
  </si>
  <si>
    <t>FRED MORARO NYABEGA</t>
  </si>
  <si>
    <t>DR BAHIGH COPTIC</t>
  </si>
  <si>
    <t>ZUHUR HASSAN MOHAMOUD</t>
  </si>
  <si>
    <t>DR THAIRU</t>
  </si>
  <si>
    <t>JOYCE NYOKABI MICHUGU</t>
  </si>
  <si>
    <t>DICKENS OCHIENG OKWORO</t>
  </si>
  <si>
    <t>CHRIS KARANU KANG'ETHE</t>
  </si>
  <si>
    <t>ANNE NJOROGE</t>
  </si>
  <si>
    <t>DR IDRIS KNH</t>
  </si>
  <si>
    <t>ERIC MUTHIANI</t>
  </si>
  <si>
    <t>JENNIPHER ATIENO ODUOR</t>
  </si>
  <si>
    <t>CAROL CHEPKOECH MUTAI</t>
  </si>
  <si>
    <t>PATRICIA MANZA</t>
  </si>
  <si>
    <t>RHODA GITONGA</t>
  </si>
  <si>
    <t>AGATHA MASIGA</t>
  </si>
  <si>
    <t>ASHA MIGDAAD SAAD</t>
  </si>
  <si>
    <t>Ultrasound Regional - Superficial</t>
  </si>
  <si>
    <t>Xray both Ankle Joints</t>
  </si>
  <si>
    <t>FLORENCE MBULA MUTUKU</t>
  </si>
  <si>
    <t>CATHERINE WAMBUI NGURE</t>
  </si>
  <si>
    <t>MARGARET WANGARI KAMAU</t>
  </si>
  <si>
    <t>Xray Cervical Spine, AP and Lateral</t>
  </si>
  <si>
    <t>RACHEAL WAKOGI</t>
  </si>
  <si>
    <t>Xray Hip</t>
  </si>
  <si>
    <t>ZAYNEZAHARI KAGO</t>
  </si>
  <si>
    <t>DR. OMAR AHMED(TAWIL)</t>
  </si>
  <si>
    <t>JAYSLIN WANGUI WAMBUI</t>
  </si>
  <si>
    <t>Xray Thoracic Spine, AP and Lateral</t>
  </si>
  <si>
    <t>PAUL THIONGO MAINA</t>
  </si>
  <si>
    <t>Xray Wrist Joint</t>
  </si>
  <si>
    <t>DR OLUGA EVANS</t>
  </si>
  <si>
    <t>PAMELA ODUKE MUGENI</t>
  </si>
  <si>
    <t>C.T  HRCT Temporal Bone</t>
  </si>
  <si>
    <t>ELIZABETH MAINA</t>
  </si>
  <si>
    <t>DR FLORENCE MUKII</t>
  </si>
  <si>
    <t>SHARON KEMUNTO</t>
  </si>
  <si>
    <t>DR. KWASA JUDITH</t>
  </si>
  <si>
    <t>AMINA MOHAMED JAMA</t>
  </si>
  <si>
    <t>DR MACHOKA NAIROBI  HOSPITAL</t>
  </si>
  <si>
    <t>SUSAN</t>
  </si>
  <si>
    <t>0728105803</t>
  </si>
  <si>
    <t>NATASHA SHITAKHA</t>
  </si>
  <si>
    <t>FAITH WANJIRU MAINA</t>
  </si>
  <si>
    <t>DR. KWASA THOMAS</t>
  </si>
  <si>
    <t>AISHA ABDIAZIZ MOHAMOOD</t>
  </si>
  <si>
    <t>GEOFFREY O. NYANGERI</t>
  </si>
  <si>
    <t>COL. (DR) ADARI GEORGE</t>
  </si>
  <si>
    <t>ALI IBRAHIM ROBA</t>
  </si>
  <si>
    <t>PROF. MULIMBA JOSPHAT</t>
  </si>
  <si>
    <t>SHEILA JELIMO KOECH</t>
  </si>
  <si>
    <t>DR. JAMES KIGERA</t>
  </si>
  <si>
    <t>DR MATHENGE</t>
  </si>
  <si>
    <t>CAROLINE IRUNGU</t>
  </si>
  <si>
    <t>AHMED SEOW JIMALE</t>
  </si>
  <si>
    <t>DR. ODIDI KENDO</t>
  </si>
  <si>
    <t>BEATRICE WAMBUI KAMAU</t>
  </si>
  <si>
    <t>DR. OTIENO SOREN</t>
  </si>
  <si>
    <t>TRAVIS NDIRANGU KAMAU</t>
  </si>
  <si>
    <t>Xray Both Lower Limbs Stiching</t>
  </si>
  <si>
    <t xml:space="preserve">DR. ROBERT MATHENGE </t>
  </si>
  <si>
    <t>COLLINS KABUE</t>
  </si>
  <si>
    <t>JULIA MUTHONI</t>
  </si>
  <si>
    <t>MRI Film Re-print</t>
  </si>
  <si>
    <t>DR JAY</t>
  </si>
  <si>
    <t>ELIZABETH CHESOLI</t>
  </si>
  <si>
    <t>ROSE MUTHONI</t>
  </si>
  <si>
    <t>ASHLEY MUHONJA</t>
  </si>
  <si>
    <t>JUDY MUTHONI MAINA</t>
  </si>
  <si>
    <t>MICHAEL MURIUKI</t>
  </si>
  <si>
    <t>BARLIN ALI</t>
  </si>
  <si>
    <t>CHRISTOPHER NGUKU</t>
  </si>
  <si>
    <t>Xray Femur, AP and Lateral</t>
  </si>
  <si>
    <t>FELIX OPIYO</t>
  </si>
  <si>
    <t>ROSE ODIERO</t>
  </si>
  <si>
    <t>JACQUELINE MWAURA</t>
  </si>
  <si>
    <t>GRACE OUMA</t>
  </si>
  <si>
    <t>DR. LANGAT EVA</t>
  </si>
  <si>
    <t>MARTIN KOOME KIMATHI</t>
  </si>
  <si>
    <t>DR. JEFF MAILU</t>
  </si>
  <si>
    <t>UPENDO THAMANA</t>
  </si>
  <si>
    <t>DR ERIC MURUNGA</t>
  </si>
  <si>
    <t>JULIUS GICHERU WAIRIMU</t>
  </si>
  <si>
    <t>KEZIAHH NJERI MWANGI</t>
  </si>
  <si>
    <t>CO. WERE</t>
  </si>
  <si>
    <t>VERONICAH KWAMUMA</t>
  </si>
  <si>
    <t>DR ABONYO AVENUE  PARKLANDS</t>
  </si>
  <si>
    <t>LEAH CHEPTOO KILACH</t>
  </si>
  <si>
    <t>MRI Abdomen</t>
  </si>
  <si>
    <t>DR JOHNSON MURILA</t>
  </si>
  <si>
    <t>WAYNE KARANU</t>
  </si>
  <si>
    <t>FIONA KAHONGE</t>
  </si>
  <si>
    <t>PAUL NJERU MACHARIA</t>
  </si>
  <si>
    <t>RADIENT HOSPITAL</t>
  </si>
  <si>
    <t>JOSEPH RATEMO MAUA</t>
  </si>
  <si>
    <t>MAYSON MOHAMED</t>
  </si>
  <si>
    <t>DR. NGOLOBE AMANDA</t>
  </si>
  <si>
    <t>MARGARET NJOROGE</t>
  </si>
  <si>
    <t>JUDITH KINUTHIA</t>
  </si>
  <si>
    <t>SARAH NJERI NGUGI</t>
  </si>
  <si>
    <t>ROSE  NJOKI KARANO</t>
  </si>
  <si>
    <t>DR LUTIKAI</t>
  </si>
  <si>
    <t>ESTHER KAGEHA LABUNA</t>
  </si>
  <si>
    <t>DR MESHACK NZIOKI KITENGELA MEDICAL</t>
  </si>
  <si>
    <t>LOUIS MORENO</t>
  </si>
  <si>
    <t>DR. TAMOOH HARISSON</t>
  </si>
  <si>
    <t>AROP LIENY ATOK</t>
  </si>
  <si>
    <t>DR. KIGEN BARTILOL</t>
  </si>
  <si>
    <t>CONSTANCE NGENO</t>
  </si>
  <si>
    <t>LAFEMME</t>
  </si>
  <si>
    <t>SADIA NUR HASSAN</t>
  </si>
  <si>
    <t>DR OKWIRI</t>
  </si>
  <si>
    <t>MARGARET WANJIRA KINYUA</t>
  </si>
  <si>
    <t>MARY KARUNDITU</t>
  </si>
  <si>
    <t>MRI Both Shoulders</t>
  </si>
  <si>
    <t>FREDRICK CANA HOSPITAL</t>
  </si>
  <si>
    <t>MOSES KIMANI</t>
  </si>
  <si>
    <t>AAR SYOKIMAU</t>
  </si>
  <si>
    <t>IAN  OGATO NYACHIEO</t>
  </si>
  <si>
    <t>Bupa International Healthline Solutions Ltd</t>
  </si>
  <si>
    <t>CHAMSA MOULIDA</t>
  </si>
  <si>
    <t>AYAN JAMAL</t>
  </si>
  <si>
    <t>MOHAMED ABDIRAHMAN</t>
  </si>
  <si>
    <t>RELIANCE HOSPITAL DR YUNIS HUSSEIN ISSACK</t>
  </si>
  <si>
    <t>MAKHTAL HUSSEIN HASSAN</t>
  </si>
  <si>
    <t>RFH HEALTHCARE DR. MUSITA</t>
  </si>
  <si>
    <t>ESTHER KARIMI</t>
  </si>
  <si>
    <t>THE NAIROBI SOUTH HOSPITAL.DR HUSSEIN ALI</t>
  </si>
  <si>
    <t>BOAZ ODEMO BULIMU</t>
  </si>
  <si>
    <t>NATALIA NAMATSI</t>
  </si>
  <si>
    <t>MRI Hand</t>
  </si>
  <si>
    <t>IRENE NGIRA NGURU</t>
  </si>
  <si>
    <t>DR PETER MUNENE</t>
  </si>
  <si>
    <t>BLESSINGS WANGARI MAUNGU</t>
  </si>
  <si>
    <t>MARU</t>
  </si>
  <si>
    <t>EDMOND ALPHONCE TOLLE</t>
  </si>
  <si>
    <t>OMBACHI BWANA</t>
  </si>
  <si>
    <t>AZENATH ADONGO</t>
  </si>
  <si>
    <t>FLORENCE MUMBUA MULINGE</t>
  </si>
  <si>
    <t>NAIROBI SOUTH HOSPITAL</t>
  </si>
  <si>
    <t>FARDOWSA DAHIR ELMI</t>
  </si>
  <si>
    <t>THE KAREN HOSPITAL</t>
  </si>
  <si>
    <t>GEORGE MORARA</t>
  </si>
  <si>
    <t>DR. KIOKO ERNEST</t>
  </si>
  <si>
    <t>WILLIAM KIBERA</t>
  </si>
  <si>
    <t>MITCHELLE WAMBUI WAINAINA</t>
  </si>
  <si>
    <t>FAITH MBULA KAMENDE</t>
  </si>
  <si>
    <t>COPTIC HOSPITAL LUKMAN</t>
  </si>
  <si>
    <t>JAYDEN MICHAEL KAMAU</t>
  </si>
  <si>
    <t>LUCY WAHU</t>
  </si>
  <si>
    <t xml:space="preserve">DR MUSYOKA </t>
  </si>
  <si>
    <t>FAITH MUMBUA</t>
  </si>
  <si>
    <t>MARGARET WANZA MULATYA</t>
  </si>
  <si>
    <t>KALTUMA MOHAMED  HASSAN</t>
  </si>
  <si>
    <t>FLORENCE OLECHA OMTOKOH</t>
  </si>
  <si>
    <t>ANN IRENE MUMA</t>
  </si>
  <si>
    <t>BABU , ANNE AWOUR</t>
  </si>
  <si>
    <t>ROSE WAENI MWANZAU</t>
  </si>
  <si>
    <t>MARYLIN MUTHONI MBOGUA</t>
  </si>
  <si>
    <t>DR TRANPHER KENYATTA HOSPITAL</t>
  </si>
  <si>
    <t>MARTIN  NJIRU KANGI</t>
  </si>
  <si>
    <t>DR. WANYIKA HANNA</t>
  </si>
  <si>
    <t>YVONNE OTIENO</t>
  </si>
  <si>
    <t>SAMUEL MUTHEE</t>
  </si>
  <si>
    <t>DR. NDELEVA BENJAMIN</t>
  </si>
  <si>
    <t>BRAVINE NYAMBANE</t>
  </si>
  <si>
    <t>DR. NGUGI NANCY</t>
  </si>
  <si>
    <t>DAVID KAGO WANYEKI</t>
  </si>
  <si>
    <t>Xray both Hands</t>
  </si>
  <si>
    <t>OBED NYAMARI</t>
  </si>
  <si>
    <t>DR. NYAGA RUGURU</t>
  </si>
  <si>
    <t>PRISCILLAH OSEBE</t>
  </si>
  <si>
    <t>KHADIJA ABDI MOHAMED</t>
  </si>
  <si>
    <t>AHMED ADOW</t>
  </si>
  <si>
    <t>FAUZIA MOHAMED SAID</t>
  </si>
  <si>
    <t>Xray both Wrist Joints</t>
  </si>
  <si>
    <t>DR. KIMANI KARANGA</t>
  </si>
  <si>
    <t>ETHAN GACHAU</t>
  </si>
  <si>
    <t>LUKA GITHINJI NDEGWA</t>
  </si>
  <si>
    <t xml:space="preserve">DR RASHID JUMAA </t>
  </si>
  <si>
    <t>SOFIA JAMA</t>
  </si>
  <si>
    <t>VALERIA NALUBOWA KEEYA</t>
  </si>
  <si>
    <t>AYAN MOHAMUD</t>
  </si>
  <si>
    <t>ERIC KIMANI ITHALII</t>
  </si>
  <si>
    <t>DR. MUTURI CAROLINE ENT</t>
  </si>
  <si>
    <t>NAIMA MUTHONI ABDALLA</t>
  </si>
  <si>
    <t>C.T Scan  Neck &amp; Skull Base</t>
  </si>
  <si>
    <t>DR. OPONDO CHARLES (C.J.R)</t>
  </si>
  <si>
    <t>MUGO COLLINS KIMATHI</t>
  </si>
  <si>
    <t>DR. GIKONYO MBIRA</t>
  </si>
  <si>
    <t>0720892868</t>
  </si>
  <si>
    <t>SAHRO ARFAY HUSSEIN</t>
  </si>
  <si>
    <t>DR ANDREW OMBEWA NAIROBI HOSPITAL</t>
  </si>
  <si>
    <t>EDOUARD NZABAKIRANA</t>
  </si>
  <si>
    <t>PROF. AMAYO ERASTUS</t>
  </si>
  <si>
    <t>MARLENE BONDO SIMBI</t>
  </si>
  <si>
    <t>HON MICHAEL WAMBUGU</t>
  </si>
  <si>
    <t>DR ONDIGI NAIROBI HOSPITAL</t>
  </si>
  <si>
    <t>Teran Samuel Domkoc</t>
  </si>
  <si>
    <t>ANTHONY MURAKARU WAHOME</t>
  </si>
  <si>
    <t>ABDULMAJID MAHAMUD</t>
  </si>
  <si>
    <t>YEL YEL AKUEL</t>
  </si>
  <si>
    <t>CO. SAKWA IRENE NAIROBI HOSPITAL</t>
  </si>
  <si>
    <t>MAZAMBI WALELA  BEZIKUNZA</t>
  </si>
  <si>
    <t>JASON KUBAI</t>
  </si>
  <si>
    <t>ABDIWAHAB MOHAMED ISMAIL</t>
  </si>
  <si>
    <t>DR ETAU EKWOM</t>
  </si>
  <si>
    <t>KOOME LAWRENCE KOOME</t>
  </si>
  <si>
    <t>DR. GITONGA SOPHIE</t>
  </si>
  <si>
    <t>HASSAN MAIDA</t>
  </si>
  <si>
    <t>DR MANGE MWENDA IVORY HEALTH SOLUTIONS</t>
  </si>
  <si>
    <t>EUGENIA MUTHONI KAMAU</t>
  </si>
  <si>
    <t>Xray Sacroiliac Joints</t>
  </si>
  <si>
    <t>x</t>
  </si>
  <si>
    <t>DR MUTETI</t>
  </si>
  <si>
    <t>KUZWA EDEN QUIRILLE</t>
  </si>
  <si>
    <t>C.T Scan Cervical Spine</t>
  </si>
  <si>
    <t>C.T Scan Thoracic Spine</t>
  </si>
  <si>
    <t>LUBANO KIZITO MABISI</t>
  </si>
  <si>
    <t>ROSE ADHIAMBO OTIENO</t>
  </si>
  <si>
    <t>DR PETER BAHIG</t>
  </si>
  <si>
    <t>CESILIA MASENGE</t>
  </si>
  <si>
    <t>FERTILITY POINT</t>
  </si>
  <si>
    <t>ESTHER NDUNGE</t>
  </si>
  <si>
    <t>JOYCE NAIRESIAE KAPIRO</t>
  </si>
  <si>
    <t>DR ANTHONY NGANGA</t>
  </si>
  <si>
    <t>ATHAR ABDILLE</t>
  </si>
  <si>
    <t>ELVIS OLE MELITA</t>
  </si>
  <si>
    <t>DR. RONO BRIAN (B.K)</t>
  </si>
  <si>
    <t>ANTHONY KIARIE</t>
  </si>
  <si>
    <t>NEVILLE MATOKE</t>
  </si>
  <si>
    <t>LIAM MATOKE</t>
  </si>
  <si>
    <t>ABDIRAHMAN WARSAME</t>
  </si>
  <si>
    <t>Xray Both Heels (Calcaneus)</t>
  </si>
  <si>
    <t>OTIENO ROSE ADHIAMBO</t>
  </si>
  <si>
    <t>MONICA AKOTH</t>
  </si>
  <si>
    <t>ZEINAB ADAN ALI</t>
  </si>
  <si>
    <t>PATRICIA MUENI KAVILA</t>
  </si>
  <si>
    <t>YVONE BRENDA OGERA</t>
  </si>
  <si>
    <t>WALTER BEN LUMITI</t>
  </si>
  <si>
    <t>ARIA TANDI WESONGA</t>
  </si>
  <si>
    <t>CAROLYNE MBITHE KIKAVA</t>
  </si>
  <si>
    <t>DR. WAMUTITI MAINA</t>
  </si>
  <si>
    <t>PURITY NJERI KABURI</t>
  </si>
  <si>
    <t>THOMAS MAKULIMA</t>
  </si>
  <si>
    <t>JOSHUA NGUGI</t>
  </si>
  <si>
    <t>DR. IRUNGU J</t>
  </si>
  <si>
    <t>ANDREW NGANGA KIMANI</t>
  </si>
  <si>
    <t>DR NYAMWEMBE CATHERINE</t>
  </si>
  <si>
    <t>SARAH OBARA</t>
  </si>
  <si>
    <t>DR LESLEY OPERE</t>
  </si>
  <si>
    <t>EVANS KAYO</t>
  </si>
  <si>
    <t>KOMAROCK MODERN (UTAWALA)</t>
  </si>
  <si>
    <t>PAULINE MUTINDA MUTISYA</t>
  </si>
  <si>
    <t>DR OTIEGO METROPOLITAN</t>
  </si>
  <si>
    <t>ZIPPORAH MUTISYA</t>
  </si>
  <si>
    <t>METROPOLITAN</t>
  </si>
  <si>
    <t>MAUREEN MWELU</t>
  </si>
  <si>
    <t>HIFU DR MUTHOKA EVERYN</t>
  </si>
  <si>
    <t>WARUI CATHERINE MKABURI</t>
  </si>
  <si>
    <t>MRI Thoracic Spine</t>
  </si>
  <si>
    <t>DR CHARLOTTE S POLLE</t>
  </si>
  <si>
    <t>CAROLYNE BONARERI MOINDI</t>
  </si>
  <si>
    <t>ANN MWARI</t>
  </si>
  <si>
    <t>ZACHARY KINYURU</t>
  </si>
  <si>
    <t>DR MOKOMBA</t>
  </si>
  <si>
    <t>JOSEPHINE KAYUMYA MUGHI</t>
  </si>
  <si>
    <t>DR GWARO KENYATTA HOSPITAL</t>
  </si>
  <si>
    <t>DR JERRY OKAL</t>
  </si>
  <si>
    <t>DR NDUKU KIKO</t>
  </si>
  <si>
    <t>ERASTUS MUSYOKA</t>
  </si>
  <si>
    <t>HABIBA SORA</t>
  </si>
  <si>
    <t>KENYATTA NATIONAL HOSPITAL (KNH) J.GWARO</t>
  </si>
  <si>
    <t>MARIA NYARANDI</t>
  </si>
  <si>
    <t>DR. OMUTSANI MWANISA</t>
  </si>
  <si>
    <t>GRACE AMADI MWAMBWA</t>
  </si>
  <si>
    <t>JOHN NGIGI</t>
  </si>
  <si>
    <t>CLARICE ATIENO</t>
  </si>
  <si>
    <t>DR S. KABINGA KENYATTA HOSPITAL</t>
  </si>
  <si>
    <t>GEOFFREY LATIKIRISH</t>
  </si>
  <si>
    <t>DR MERCY CHEPKIRUI PCEA KIKUYU HOSPITAL</t>
  </si>
  <si>
    <t>NYAJAB LAM YANG</t>
  </si>
  <si>
    <t>PETER OMONDI</t>
  </si>
  <si>
    <t>ASTONE MUKAMBI NYAWIRA</t>
  </si>
  <si>
    <t>MTIBA - First Assurance</t>
  </si>
  <si>
    <t xml:space="preserve">BRISTOL PARK HOSPITAL </t>
  </si>
  <si>
    <t>MILLICENT DOROTHY KAJIMBA</t>
  </si>
  <si>
    <t>DR. SULE KRISTINA</t>
  </si>
  <si>
    <t>AMY WARIARA WAIRERI</t>
  </si>
  <si>
    <t>ABDIA HUSSEIN HASSAN</t>
  </si>
  <si>
    <t>DR. WAWERU SNK</t>
  </si>
  <si>
    <t>SILAS NYACHAE MASIRA</t>
  </si>
  <si>
    <t>EMMANUEL KAMWANA WAMBUGU</t>
  </si>
  <si>
    <t>ANNE WANGARI GATHURA</t>
  </si>
  <si>
    <t>HAZEL WANJIKU WAIRERI</t>
  </si>
  <si>
    <t>VANESSA CHELIMO</t>
  </si>
  <si>
    <t>KILIMANI CANCER CENTRE</t>
  </si>
  <si>
    <t>JAMES OMWEGA OMAI</t>
  </si>
  <si>
    <t>SHEIKH HASSAN</t>
  </si>
  <si>
    <t>DR D T NDIRANGU</t>
  </si>
  <si>
    <t>RAPHAEL KIIGE KAMAU</t>
  </si>
  <si>
    <t>Ultrasound Aortic Doppler flows</t>
  </si>
  <si>
    <t>ALICE WAMUYU MBUCHU</t>
  </si>
  <si>
    <t>MERCY MUTHONI</t>
  </si>
  <si>
    <t>Ultrasound Doppler Venous, Bilateral</t>
  </si>
  <si>
    <t>JUDITH AKOTH OCHIENG</t>
  </si>
  <si>
    <t>MOLINTER ACHIENG ADEK</t>
  </si>
  <si>
    <t>MICHELLE OMWOYO</t>
  </si>
  <si>
    <t>NEVINE AKINYI OGOT</t>
  </si>
  <si>
    <t>VERONICA KEMUNTO</t>
  </si>
  <si>
    <t>CAROLYNE JENDEKA</t>
  </si>
  <si>
    <t>Ultrasound Obstetrics with BPP and Doppler Studies</t>
  </si>
  <si>
    <t>EVELYNE AHIDI</t>
  </si>
  <si>
    <t>GRACE NJERI MAINA</t>
  </si>
  <si>
    <t>MWANGI F</t>
  </si>
  <si>
    <t>MIRIAM WANGECHI</t>
  </si>
  <si>
    <t>DR JM MAIMBA</t>
  </si>
  <si>
    <t>GLORIA ODIPO</t>
  </si>
  <si>
    <t>MAUREEN JEBET KOMEN</t>
  </si>
  <si>
    <t>Sedgwick Kenya Insurance Brokers Ltd.</t>
  </si>
  <si>
    <t>RUTH KHAKASA WAFULA</t>
  </si>
  <si>
    <t>EPHREM YOHANNES DESTA</t>
  </si>
  <si>
    <t>AUSTINE CHUKS</t>
  </si>
  <si>
    <t>ALEX MAINA</t>
  </si>
  <si>
    <t>JACKBED MUTHONI ESTHONE</t>
  </si>
  <si>
    <t>HILDA MUTINDA</t>
  </si>
  <si>
    <t>HAWA ABDALLA DIRIYE</t>
  </si>
  <si>
    <t>BERNARD MWAURA NGIGE</t>
  </si>
  <si>
    <t>THEO MAINA KAMAU</t>
  </si>
  <si>
    <t>DR. KIRUGO SOLOMON (S.N)</t>
  </si>
  <si>
    <t>NANCY WAMBUI</t>
  </si>
  <si>
    <t>AGNES WAMBUI MUHUGU</t>
  </si>
  <si>
    <t>Xray Sacrum and Coccyx, AP and Lateral</t>
  </si>
  <si>
    <t>DR. LOUISE LWAI-LUME</t>
  </si>
  <si>
    <t>EVE</t>
  </si>
  <si>
    <t>0710238156</t>
  </si>
  <si>
    <t>KABURA KABURA</t>
  </si>
  <si>
    <t>FEISAL MOHAMED</t>
  </si>
  <si>
    <t>DR. NYAGA SAMUEL</t>
  </si>
  <si>
    <t>EVERYNE AMEYO MUKOYA</t>
  </si>
  <si>
    <t>BRANSON ONYIEGO</t>
  </si>
  <si>
    <t>DR BATUL GALMHUSEIN</t>
  </si>
  <si>
    <t>LILIAN</t>
  </si>
  <si>
    <t>0716945765</t>
  </si>
  <si>
    <t>HARRIZON AGILI</t>
  </si>
  <si>
    <t>DR. JULIUS KIBOI</t>
  </si>
  <si>
    <t>MADRIN</t>
  </si>
  <si>
    <t>0722587553</t>
  </si>
  <si>
    <t>GEOFFREY KIBUA KAGOTHO</t>
  </si>
  <si>
    <t>DEBBY</t>
  </si>
  <si>
    <t>0722699304</t>
  </si>
  <si>
    <t>WINNIE NJERI MBURU</t>
  </si>
  <si>
    <t>GEOFFREY KABUA KAGOTHO</t>
  </si>
  <si>
    <t>DR. AKIL FAZAL</t>
  </si>
  <si>
    <t>0710912066</t>
  </si>
  <si>
    <t>ELIUD NGARE MUNENE</t>
  </si>
  <si>
    <t>DR. NJIRAINI NJOKI</t>
  </si>
  <si>
    <t>STEPHEN NGANAGA GITAU</t>
  </si>
  <si>
    <t>JOY SASHA JUMA</t>
  </si>
  <si>
    <t>MRI Peripheral (Lower Extremity) Angiogram</t>
  </si>
  <si>
    <t>DR MACHOKA NAIROBI HOSPITAL</t>
  </si>
  <si>
    <t>CATHERINE KANGAI MARETE</t>
  </si>
  <si>
    <t>DR. SITATI FRED</t>
  </si>
  <si>
    <t>TRACY AKACH</t>
  </si>
  <si>
    <t>NIYITEGEKA DONAVINE</t>
  </si>
  <si>
    <t>ZACHARY MOGENI MAKWORO</t>
  </si>
  <si>
    <t>DR. KIGOTHO JAMES</t>
  </si>
  <si>
    <t>JOSPHINE AWINO OBWORO</t>
  </si>
  <si>
    <t>NANCY VIVIENNE MATARA</t>
  </si>
  <si>
    <t>DR. KAMAU NJOROGE</t>
  </si>
  <si>
    <t>ELIZABETH WAMBUI MAINA</t>
  </si>
  <si>
    <t>AHMED MUHIDIN</t>
  </si>
  <si>
    <t>MOHAMED HUSSEIN</t>
  </si>
  <si>
    <t>CAROLYNE NDUTA MWAURA</t>
  </si>
  <si>
    <t>IVY GRACE</t>
  </si>
  <si>
    <t>RUKIA YUSSUF</t>
  </si>
  <si>
    <t>TREVOR GITONGA</t>
  </si>
  <si>
    <t>JOSEPHINE AWINO</t>
  </si>
  <si>
    <t>LEON KIPROP</t>
  </si>
  <si>
    <t>JANELYDIA WANGUI</t>
  </si>
  <si>
    <t>WAIHIGA WANJOHI</t>
  </si>
  <si>
    <t>Xray Thoracolumbar Spine-  Ap And Lateral</t>
  </si>
  <si>
    <t>JABULANI MWANGI</t>
  </si>
  <si>
    <t>HCGCCK CENCER CENTRE</t>
  </si>
  <si>
    <t>STEPHEN K KIVOU</t>
  </si>
  <si>
    <t>KOMAROCK MODERN.FIDELIS</t>
  </si>
  <si>
    <t>ERICK GACHICHIO KAGURU</t>
  </si>
  <si>
    <t>DR A HUSSEIN</t>
  </si>
  <si>
    <t>ABDIRAHMAN ABDI JAYLANI</t>
  </si>
  <si>
    <t>DR EVERLYNE MUTHOKA</t>
  </si>
  <si>
    <t>IMELDA  WAFULA NASAMBU</t>
  </si>
  <si>
    <t>DR WERE</t>
  </si>
  <si>
    <t>STELLA MAKENA RIUNGU</t>
  </si>
  <si>
    <t>BIDEN NAMAN</t>
  </si>
  <si>
    <t>DENNIS MOMBO</t>
  </si>
  <si>
    <t>MARIAN TURAP GURE</t>
  </si>
  <si>
    <t>DR NDEGE CN IVORY HEALTH</t>
  </si>
  <si>
    <t>DEBORAH WANZILA</t>
  </si>
  <si>
    <t>DR WAYNE NJOROGE/ANDREW OWUOR</t>
  </si>
  <si>
    <t>BENARD MWAURA</t>
  </si>
  <si>
    <t>CATHERINE KIMOTHO</t>
  </si>
  <si>
    <t>QATRA MUHYDEEN</t>
  </si>
  <si>
    <t>DR. RUPAL MARU</t>
  </si>
  <si>
    <t>SAMUEL KIRITAI OBIKI</t>
  </si>
  <si>
    <t>DR. NGIGI JOHN</t>
  </si>
  <si>
    <t>ANAB ABDIRAHAMAN MUSE</t>
  </si>
  <si>
    <t>JOHN  NJUGUNA KIBUNJA</t>
  </si>
  <si>
    <t>MARGARET WACHUKA MACHARIA</t>
  </si>
  <si>
    <t>RICHARD KINARO KAMAU</t>
  </si>
  <si>
    <t>DR. KAMAU PETER</t>
  </si>
  <si>
    <t>STEPHEN OMWENO</t>
  </si>
  <si>
    <t>MRI Defecography</t>
  </si>
  <si>
    <t>DR HUSSEIN BILE NAIROBI SOUTH</t>
  </si>
  <si>
    <t>ABDIFATAH ABDI MOHAMED</t>
  </si>
  <si>
    <t>IMRAN ABDIFATAH ELMI</t>
  </si>
  <si>
    <t>DR NOEL MANDI</t>
  </si>
  <si>
    <t>MARTINA THOKCHON</t>
  </si>
  <si>
    <t xml:space="preserve">DR MUSITA RFH </t>
  </si>
  <si>
    <t>SOPHIA ALOO ACHIENG</t>
  </si>
  <si>
    <t>DR YUNIS HUSSEIN ISSACK NAIROBI SOUTH HOSP.</t>
  </si>
  <si>
    <t>HADIJA MOHAMED SHANU</t>
  </si>
  <si>
    <t>MARIA MONARI</t>
  </si>
  <si>
    <t>DR OKWIRI ANTHONY</t>
  </si>
  <si>
    <t>WALTER WANJALA WEKESA</t>
  </si>
  <si>
    <t>MRI Whole Spine</t>
  </si>
  <si>
    <t>MARYANNE KAMAU</t>
  </si>
  <si>
    <t>RUTH NGAO</t>
  </si>
  <si>
    <t>ROSE ZAKAYO</t>
  </si>
  <si>
    <t>CLARICE ATIENO OKOTH</t>
  </si>
  <si>
    <t>KENYATTA HOSPITAL DR OWALLA</t>
  </si>
  <si>
    <t>DUNCAN OCHIENG</t>
  </si>
  <si>
    <t>BABRAH KIPKUT</t>
  </si>
  <si>
    <t>HAFSO ABDULLAHI</t>
  </si>
  <si>
    <t>LEILA ABDILLAHI MAHMOUD</t>
  </si>
  <si>
    <t>MILLICENT NJERI WANGUI</t>
  </si>
  <si>
    <t>DR. MOKOMBA ALFRED</t>
  </si>
  <si>
    <t>ROSE RIGIRI</t>
  </si>
  <si>
    <t>ALICE NYAMBURA GICHURU</t>
  </si>
  <si>
    <t>HALAKU GUYO DANSO</t>
  </si>
  <si>
    <t>PERIS WAMBUI KABERA</t>
  </si>
  <si>
    <t>DR. WANJIKU KAGIMA</t>
  </si>
  <si>
    <t>SAKAYO KINEENE</t>
  </si>
  <si>
    <t>ISHIMWE  ADONAI</t>
  </si>
  <si>
    <t>ANNABEL WANJIKU MWANGI</t>
  </si>
  <si>
    <t>SUSAN WANGECHI KIMANI</t>
  </si>
  <si>
    <t>MARGARET MUGURE</t>
  </si>
  <si>
    <t>FATUMA ABDIRAHMAN MOHAMED</t>
  </si>
  <si>
    <t>BRIAN SIMINTEI KUDATE</t>
  </si>
  <si>
    <t>DR. BINTI KAMBUNI</t>
  </si>
  <si>
    <t>AHMED ABDULLAHI</t>
  </si>
  <si>
    <t>BARNABAS JOHN MWANZIA</t>
  </si>
  <si>
    <t>DR NATALIE ONGESO</t>
  </si>
  <si>
    <t>ONGAGA EMMANUEL WILSON</t>
  </si>
  <si>
    <t>ABDIAZIZ BASHIR</t>
  </si>
  <si>
    <t>DR. KAGEMA FRANK</t>
  </si>
  <si>
    <t>OGUNDE, EVERLYNE ACHIENG</t>
  </si>
  <si>
    <t>PROF. OMONDI OGUTU</t>
  </si>
  <si>
    <t>ONDIEKI, DALMAS MATHAYO</t>
  </si>
  <si>
    <t>DR JAMES GITHINJI</t>
  </si>
  <si>
    <t>BASIL EINTEN NDINYA</t>
  </si>
  <si>
    <t>DR OKOTH NAIROBI HOSPITAL</t>
  </si>
  <si>
    <t>PENINAH MUSYOKI</t>
  </si>
  <si>
    <t>DR. ONGESO NATALI</t>
  </si>
  <si>
    <t>WARUTERE, SARAH NJERI</t>
  </si>
  <si>
    <t>CELESTINE OMOLO AKOTH</t>
  </si>
  <si>
    <t>DR. KAGIRI MAINGI</t>
  </si>
  <si>
    <t>DUNCAN WAITHAKA DEGWA</t>
  </si>
  <si>
    <t>DALMAS MATHAYO ONDIEKI</t>
  </si>
  <si>
    <t>DR. KAHUHO CHRISTOPHER.NAIROBI HOSPITAL</t>
  </si>
  <si>
    <t>GLADYS WANGOMBE</t>
  </si>
  <si>
    <t>DR DAVID  SILVERSTEIN.NAIROBI HOSPITAL</t>
  </si>
  <si>
    <t>BARBARA KARIMI KABURU</t>
  </si>
  <si>
    <t>SHEM OCHUKUTU CHURUTI</t>
  </si>
  <si>
    <t>DOUGLAS MAINA MUTUOTA</t>
  </si>
  <si>
    <t>KAGEMA FRANK</t>
  </si>
  <si>
    <t>EUNICE W KARANJA</t>
  </si>
  <si>
    <t>DR. WANJOHI VICTOR</t>
  </si>
  <si>
    <t>PHYLLIS NYAMBURA MAINA</t>
  </si>
  <si>
    <t>FREDRICK KAMANDE</t>
  </si>
  <si>
    <t>MILDRED WILKISTER NABWIRE</t>
  </si>
  <si>
    <t>DOUGLAS ONWONGA</t>
  </si>
  <si>
    <t>MARGARET WAMBUI MWANGI</t>
  </si>
  <si>
    <t>ZIPPORAH WANGUI NGUGI</t>
  </si>
  <si>
    <t>FOUAD SAIDI</t>
  </si>
  <si>
    <t>MUMINA ALI MOHAMED</t>
  </si>
  <si>
    <t>DR. KASSIM AHMED</t>
  </si>
  <si>
    <t>MOHAMED SALEH</t>
  </si>
  <si>
    <t>RANIA LARRY JONES</t>
  </si>
  <si>
    <t>ABDI JILO ROBA</t>
  </si>
  <si>
    <t>KATHLEN SEAN PIERE</t>
  </si>
  <si>
    <t>HABIBA EDIN</t>
  </si>
  <si>
    <t>Xray Finger</t>
  </si>
  <si>
    <t>JUDITH ADIEDO ONYANGO</t>
  </si>
  <si>
    <t>STELLA KYEBA THUGURI</t>
  </si>
  <si>
    <t>STELLA KYEBA</t>
  </si>
  <si>
    <t>NEEMA JOY OKELLO</t>
  </si>
  <si>
    <t>ALPHINE AGINA ODONGO</t>
  </si>
  <si>
    <t>YUGALA PRITI HICKEY</t>
  </si>
  <si>
    <t>DR LAAMOI</t>
  </si>
  <si>
    <t>MERCY MANTAINE APURETI</t>
  </si>
  <si>
    <t>DR JOSEPH OMONDI NYAMBOK</t>
  </si>
  <si>
    <t>JADEN ATOGO NYAMBOK</t>
  </si>
  <si>
    <t>ODHIAMBO, FAITH ANYONYI</t>
  </si>
  <si>
    <t>DR MOKEIRA HIFU</t>
  </si>
  <si>
    <t>CHRISTINE EMILY AGUMBA ODHIAMBO</t>
  </si>
  <si>
    <t>DR. BILHA NYAMEINO HIFU</t>
  </si>
  <si>
    <t>NAFISA RAMAZANI</t>
  </si>
  <si>
    <t>DR EUGENE KALMAR</t>
  </si>
  <si>
    <t>WINFRED RONO</t>
  </si>
  <si>
    <t>ALLIANCE HOSPITAL</t>
  </si>
  <si>
    <t>ABDIKADIR KHAHIYE BULAALE</t>
  </si>
  <si>
    <t>CHRISTINE NJERI NJAGI</t>
  </si>
  <si>
    <t>DR.WAHOME KARANJA</t>
  </si>
  <si>
    <t>BENARD MUTHOGA NGUNYA</t>
  </si>
  <si>
    <t>ROSEMARY KAMANU</t>
  </si>
  <si>
    <t>NAIROBI SOUTH HOSPITAL DR BALLETH</t>
  </si>
  <si>
    <t>EFFRAH AMINA YUSUF</t>
  </si>
  <si>
    <t>THE KENTATTA HOSPITAL DR SOMAIYA</t>
  </si>
  <si>
    <t>JANET MUTHEU MWANZA</t>
  </si>
  <si>
    <t>MICHAEL NGANGA KAMAU</t>
  </si>
  <si>
    <t>DR. NGUGI JEREMY NAIROBI WOMEN</t>
  </si>
  <si>
    <t>WINNIE KHATSIKA</t>
  </si>
  <si>
    <t>DR. WANGUI LILIAN</t>
  </si>
  <si>
    <t>RACHAEL NUNGARI MUNGAI</t>
  </si>
  <si>
    <t>LUCY GATHONI MUGO</t>
  </si>
  <si>
    <t>WINNIE WANGUI MBIYU</t>
  </si>
  <si>
    <t>SKYLAR KIMATHI</t>
  </si>
  <si>
    <t>DR. J.P OGALO MIRAZI MEDICAL</t>
  </si>
  <si>
    <t>GEORGINA MUIGAI</t>
  </si>
  <si>
    <t>DR. OTELE WILLY</t>
  </si>
  <si>
    <t>ONESMUS GICHURU</t>
  </si>
  <si>
    <t>NANCY AOKO</t>
  </si>
  <si>
    <t>DR. OYARO IRENE</t>
  </si>
  <si>
    <t>SHARON AKINYI ODHIAMBO</t>
  </si>
  <si>
    <t>DR OYARO</t>
  </si>
  <si>
    <t>JUDITH AWINO AWUOR</t>
  </si>
  <si>
    <t>ESTHER NYAGUTHII WAMAITHA</t>
  </si>
  <si>
    <t>SYLVIA KENDI  KITHINJI</t>
  </si>
  <si>
    <t>ESTHER WARUHIU</t>
  </si>
  <si>
    <t>RHAPTA MEDICAL CENTRE CHARLES</t>
  </si>
  <si>
    <t>MOHAMED HASHI  HERSI</t>
  </si>
  <si>
    <t>LIAM CHERUIYOT</t>
  </si>
  <si>
    <t>LEON KIPKIRUI LANGAT</t>
  </si>
  <si>
    <t>TERESIA WAIRIMU MWANGI</t>
  </si>
  <si>
    <t>DENG DENG ADOT</t>
  </si>
  <si>
    <t>DR. MUSAU CHRISTOPHER (C.K)</t>
  </si>
  <si>
    <t>TERESA MIKALI AMAYA</t>
  </si>
  <si>
    <t>DR H. O. ABWAO</t>
  </si>
  <si>
    <t>TIMOTHY KEYARI NJAYA</t>
  </si>
  <si>
    <t>DR VIVIAN CHERONO</t>
  </si>
  <si>
    <t>DELILAH MWIGI  JULIUS</t>
  </si>
  <si>
    <t>MUMINA GEDI OSMAN</t>
  </si>
  <si>
    <t>AAR HEALTHCARE - KAMAKIS</t>
  </si>
  <si>
    <t>RAPHAEL ORATO WANGA</t>
  </si>
  <si>
    <t>SAHRO AHMED MOHAMED</t>
  </si>
  <si>
    <t>DR. KARIUKI PAUL NAIROBI HOSPITAL</t>
  </si>
  <si>
    <t>ALFRED MWANIKI NDAHI</t>
  </si>
  <si>
    <t>DR DAVID  SILVERSTEIN NRB HOSPITAL</t>
  </si>
  <si>
    <t>DR. OSEWE EDWARD</t>
  </si>
  <si>
    <t>MARJORIE NYASANI</t>
  </si>
  <si>
    <t>DR. MOGIRE JAMES (J.K)</t>
  </si>
  <si>
    <t>ANDREW NGURE</t>
  </si>
  <si>
    <t>SUSAN ANYANGO OMONDI</t>
  </si>
  <si>
    <t>AISHA MOHAMOUD</t>
  </si>
  <si>
    <t>BEATRICE AKOTH OCHIENG</t>
  </si>
  <si>
    <t>DR. MURIGI DAVID</t>
  </si>
  <si>
    <t>CELLINE ZADOCK ANYANGO</t>
  </si>
  <si>
    <t>DORCAS WAIRIMU</t>
  </si>
  <si>
    <t>DR. KAIRITHIA</t>
  </si>
  <si>
    <t>MAUREEN MAINGI</t>
  </si>
  <si>
    <t>IDA KHAOYA</t>
  </si>
  <si>
    <t>DR MUTUKU</t>
  </si>
  <si>
    <t>DANIEL MASAKU</t>
  </si>
  <si>
    <t>DAREL MUKOYA AMUKOYA</t>
  </si>
  <si>
    <t>APRIL WK 2</t>
  </si>
  <si>
    <t>DR MOHAMED MATHARI HOSPITAL</t>
  </si>
  <si>
    <t>DENNIS MUTURI</t>
  </si>
  <si>
    <t>Barium Swallow</t>
  </si>
  <si>
    <t>DIOGENE KAGAMBI MATU</t>
  </si>
  <si>
    <t>KOMAROCK MODERN (UTAWALA) ANTHONY</t>
  </si>
  <si>
    <t>ANN ATIENO ODUOR</t>
  </si>
  <si>
    <t>SALEEM BAGHA</t>
  </si>
  <si>
    <t>MERCY MBINYA MUTIE</t>
  </si>
  <si>
    <t>IRENE NJERI MWARANIA</t>
  </si>
  <si>
    <t>EQUITY AFIA NGONG ROAD</t>
  </si>
  <si>
    <t>CAIRO ZURI HUNGAI</t>
  </si>
  <si>
    <t>JACQUELINE NDUNGU</t>
  </si>
  <si>
    <t>EQUITY AFIA NGONG ROAD.NYOTA</t>
  </si>
  <si>
    <t>JABARI THAYU HUNGAI</t>
  </si>
  <si>
    <t>ABEDNEGO MUSEE</t>
  </si>
  <si>
    <t>SPORT WELLNESS CLINIC</t>
  </si>
  <si>
    <t>darren byamugisha jordan</t>
  </si>
  <si>
    <t>DAVID GACHANJA NJUGUNA</t>
  </si>
  <si>
    <t>amos  njoroge irungu</t>
  </si>
  <si>
    <t>RICHARD WACHIRA GAKUNGA</t>
  </si>
  <si>
    <t>GILBERT OBURU JAGERO</t>
  </si>
  <si>
    <t>ANNA WANGARI KURIA</t>
  </si>
  <si>
    <t>C.T Carotid Angiogram</t>
  </si>
  <si>
    <t>ZACHARY MAINA MBUGWA</t>
  </si>
  <si>
    <t>CHARLES MWANIKI</t>
  </si>
  <si>
    <t>JOYCELINE WAITHERA KAMAU</t>
  </si>
  <si>
    <t>DR.MARARO MUIGAI</t>
  </si>
  <si>
    <t>JOHN NGETHE</t>
  </si>
  <si>
    <t>WINNIE JEBET BIRECH</t>
  </si>
  <si>
    <t>JOEPETER MUGO</t>
  </si>
  <si>
    <t>DR MUIGAI</t>
  </si>
  <si>
    <t>JOHN KAMAU WANJIRU</t>
  </si>
  <si>
    <t>PATRICK NJOROGE NJENGA</t>
  </si>
  <si>
    <t>SITNA ALI</t>
  </si>
  <si>
    <t>ESTHER AYUKO UBUNZA</t>
  </si>
  <si>
    <t>CT Chest and Abdomen</t>
  </si>
  <si>
    <t>DR ABDIQANI NAIROBI WOMEN</t>
  </si>
  <si>
    <t>FAITH WANJIKU MATHENGE</t>
  </si>
  <si>
    <t>MARY WANJIKU</t>
  </si>
  <si>
    <t>ANDREW OWUOR</t>
  </si>
  <si>
    <t>MARTIN GURE</t>
  </si>
  <si>
    <t>LYDIA KABURA</t>
  </si>
  <si>
    <t>DR MACHARIA KIAMBU LEVEL 5</t>
  </si>
  <si>
    <t>DAMARIS KAMENE NDAYU</t>
  </si>
  <si>
    <t>DR. KARANJA SUSAN</t>
  </si>
  <si>
    <t>SIMON MAYUNGBE</t>
  </si>
  <si>
    <t>ALICE KARUTA MUCHENA</t>
  </si>
  <si>
    <t>CAROLINE ARIGA</t>
  </si>
  <si>
    <t>AGNES WANJIRA IRIMU</t>
  </si>
  <si>
    <t>GEOFREY KIPCHUMBA KOECH</t>
  </si>
  <si>
    <t>ROSEMARY NYANGWESO KWAKA</t>
  </si>
  <si>
    <t>DR. AFULO GEORGE</t>
  </si>
  <si>
    <t>IRENE WANJIRU MUNYORO</t>
  </si>
  <si>
    <t>DR NGUGI J NAIROBI WOMEN</t>
  </si>
  <si>
    <t>JUDITH LUMUNA</t>
  </si>
  <si>
    <t>AAR HEALTHCARE - SYOKIMAU</t>
  </si>
  <si>
    <t>ZACHARY RUBA MAGATI</t>
  </si>
  <si>
    <t>PAULINE WAMBUI KAMAU</t>
  </si>
  <si>
    <t>DR. MUGAMBI ERIC</t>
  </si>
  <si>
    <t>EVERLYN ASIKO IMBIRA</t>
  </si>
  <si>
    <t>HUSSEIN MUKTAR</t>
  </si>
  <si>
    <t>MILICENT  BLESSING ATIENO</t>
  </si>
  <si>
    <t>MERCY ATIENO ADU</t>
  </si>
  <si>
    <t>PROF. OJUKA DANIEL</t>
  </si>
  <si>
    <t>FARHIYA HASSAN LIBAN</t>
  </si>
  <si>
    <t>DR. OMONDI MARILYN KENYATTA</t>
  </si>
  <si>
    <t>ALVINA WAMBUA</t>
  </si>
  <si>
    <t>DR. NGUCHU HELLEN</t>
  </si>
  <si>
    <t>PENNINAH WANJIRA GACHOKI</t>
  </si>
  <si>
    <t>JUDY NGANGA</t>
  </si>
  <si>
    <t>NELSON KIRUTHU</t>
  </si>
  <si>
    <t>HUMPHREY NGARI NJENGA</t>
  </si>
  <si>
    <t>HAZEL NYANUMBA</t>
  </si>
  <si>
    <t>JANE MURUGI NDOGO</t>
  </si>
  <si>
    <t>FIDELIS WANGARI NGANGA</t>
  </si>
  <si>
    <t>RAHAB WANGUI WANJIRU</t>
  </si>
  <si>
    <t>CLARICE ATHIENO MUSUNGU</t>
  </si>
  <si>
    <t>YOGA ALLAN WILSON</t>
  </si>
  <si>
    <t>JOEL KIENJEKU</t>
  </si>
  <si>
    <t>RAHMA IBRAHIM ELMI</t>
  </si>
  <si>
    <t>DR. GITURA BENARD</t>
  </si>
  <si>
    <t>MICHAEL KIMANI</t>
  </si>
  <si>
    <t>JANET MUTISO MWENDE</t>
  </si>
  <si>
    <t>DR. MOSES KQ</t>
  </si>
  <si>
    <t>JOSEPH WANAMBUKO BUYELA</t>
  </si>
  <si>
    <t>SALOME NJERI GITAU</t>
  </si>
  <si>
    <t>RAHMA MAALIM IBRAHIM</t>
  </si>
  <si>
    <t>GODANA DIDA</t>
  </si>
  <si>
    <t>DR. OGALO WINSTON</t>
  </si>
  <si>
    <t>GRACE MUTHONI MAINA</t>
  </si>
  <si>
    <t>DR. MUTURI CAROLINE</t>
  </si>
  <si>
    <t>RUFAS NJOGU THIGA</t>
  </si>
  <si>
    <t>JAQUELINE WAMBUI</t>
  </si>
  <si>
    <t>SAVANNAH HEALTHCARE</t>
  </si>
  <si>
    <t>ALICE WAMBUI MUCHIRI</t>
  </si>
  <si>
    <t>CO. ERICK EABL</t>
  </si>
  <si>
    <t>LUCY WANJIRU MARIGI</t>
  </si>
  <si>
    <t>RACHAEL KATHIO MUTIO</t>
  </si>
  <si>
    <t>DR SHAMSHUDIN MOHAMMEDALI</t>
  </si>
  <si>
    <t>JOYCE KERUBO ONGWAE</t>
  </si>
  <si>
    <t>FELISTER KANGWANA</t>
  </si>
  <si>
    <t>DR. BARAZA RICHARD</t>
  </si>
  <si>
    <t>PAUL KAMATI MWAI</t>
  </si>
  <si>
    <t>NATALIE CHEPNGETICH MUTAI</t>
  </si>
  <si>
    <t>DR. OYIENGO VINCENT</t>
  </si>
  <si>
    <t>FARTUN ABDALLA MOHAMED</t>
  </si>
  <si>
    <t>DR MBAKA</t>
  </si>
  <si>
    <t>JAMES MOGIRE NAIROBI HOSPITAL</t>
  </si>
  <si>
    <t>CAROLINE WAIRIMU</t>
  </si>
  <si>
    <t>Xray sacroiliac Joints</t>
  </si>
  <si>
    <t>DR. AYO STEPHEN (S.O)</t>
  </si>
  <si>
    <t>JOHN DAVID TSUMA</t>
  </si>
  <si>
    <t>DR. NGANGA NJOROGE</t>
  </si>
  <si>
    <t>GODANA DUBBA BORU</t>
  </si>
  <si>
    <t>EMMANUEL MWIKWABE</t>
  </si>
  <si>
    <t>NZWILI NGINDILILE</t>
  </si>
  <si>
    <t>CAROLINE WAMBUI</t>
  </si>
  <si>
    <t>NGANGA</t>
  </si>
  <si>
    <t>VICTORIA LOMWA</t>
  </si>
  <si>
    <t xml:space="preserve">ZAHRA HUSSEIN </t>
  </si>
  <si>
    <t>SYLVIA CHEGE</t>
  </si>
  <si>
    <t>LYDIA AYITSO OKWEMBA</t>
  </si>
  <si>
    <t>HUDEFYA DALMAR IBRAHIM</t>
  </si>
  <si>
    <t>EDWARD BULIMU</t>
  </si>
  <si>
    <t>DR. MBUGUA FRANCIS</t>
  </si>
  <si>
    <t>ABIGAEL NYAWIRA</t>
  </si>
  <si>
    <t>DR. MURERWA MARK</t>
  </si>
  <si>
    <t>ANGELINA MUKIR</t>
  </si>
  <si>
    <t>ANGELLINA MUKII MWAU</t>
  </si>
  <si>
    <t>ALEX NZULA KIMILU</t>
  </si>
  <si>
    <t>peter njuguna ndungu</t>
  </si>
  <si>
    <t>Xray Sternum</t>
  </si>
  <si>
    <t>NAOMI GATORU</t>
  </si>
  <si>
    <t>KHAMAL</t>
  </si>
  <si>
    <t>HAFSA ABDIRAHMAN MOHAMED</t>
  </si>
  <si>
    <t>FRIDAH AYIETA</t>
  </si>
  <si>
    <t>DR.NYAIRA UZIMAHOSPITAL</t>
  </si>
  <si>
    <t>JAMES MUSYOKA VAYA</t>
  </si>
  <si>
    <t>JAMES OMINDE</t>
  </si>
  <si>
    <t>DR. BILHA NYAMEINO.HIFU</t>
  </si>
  <si>
    <t>TABITHA NJAMBI GATUMA</t>
  </si>
  <si>
    <t>EMILY WANJIRU KAMAU</t>
  </si>
  <si>
    <t>DR MUGAMBI AVENUE 1ST PARK</t>
  </si>
  <si>
    <t>DANIEL MWITI MUNENE</t>
  </si>
  <si>
    <t>DR NANCY MURAYA EQUITY AFIA</t>
  </si>
  <si>
    <t>MARION CHEBET</t>
  </si>
  <si>
    <t>DR ROSE KIARIE EQUITY KAWANGWARE</t>
  </si>
  <si>
    <t>FAITH MUHATIA</t>
  </si>
  <si>
    <t>DENNIS WACHIRA GACHUHI</t>
  </si>
  <si>
    <t>SUSAN MAKOKHA KIMOMOI</t>
  </si>
  <si>
    <t>ERIC NJUME</t>
  </si>
  <si>
    <t>EQUITY AFIA UPPERHILL.CHEBET</t>
  </si>
  <si>
    <t>IRENE AMADI</t>
  </si>
  <si>
    <t>DR SARAH PENDA KAHAWA WEST</t>
  </si>
  <si>
    <t>FERDINADAH MUTHONI</t>
  </si>
  <si>
    <t>DAVIS  KEMBOI KIPLIMO</t>
  </si>
  <si>
    <t>BRENDA MWANGI WANJUGU</t>
  </si>
  <si>
    <t>EQUITY AFIA KINOO</t>
  </si>
  <si>
    <t>MICHAEL ODHIAMBO ODUOR</t>
  </si>
  <si>
    <t>SALOME WANJIRU MWANGI</t>
  </si>
  <si>
    <t>DR MANDI</t>
  </si>
  <si>
    <t>KAVIYA PAKKIRISAMI</t>
  </si>
  <si>
    <t>DOMINIC OWINO AJWANG</t>
  </si>
  <si>
    <t>DR KARUGA OUTSPAN</t>
  </si>
  <si>
    <t>JOSPHINE KAWIRA MUTEGI</t>
  </si>
  <si>
    <t>DR. CHESEREM EUNICE</t>
  </si>
  <si>
    <t>NICHOLAS KABASA BUNDE</t>
  </si>
  <si>
    <t>GLADYS MACHARIA</t>
  </si>
  <si>
    <t>CLIFTON ODHIAMBO ALLELA</t>
  </si>
  <si>
    <t>ALICE WAMBUI NJOROGE</t>
  </si>
  <si>
    <t>M. P. SHAH HOSPITAL</t>
  </si>
  <si>
    <t>NYTHA NTALEMWA</t>
  </si>
  <si>
    <t>ESTHER KIMANI</t>
  </si>
  <si>
    <t>DR KIONI</t>
  </si>
  <si>
    <t>SARAH MUTHONI</t>
  </si>
  <si>
    <t>BRENDA AKINYI OTIENO</t>
  </si>
  <si>
    <t>JOSEPHINE MULINGE MUTEMI</t>
  </si>
  <si>
    <t>DR STELLA NJENGA KENYATTA HOSP</t>
  </si>
  <si>
    <t>SANDRA ISAAC</t>
  </si>
  <si>
    <t>DR MOKOMBA ALFRED</t>
  </si>
  <si>
    <t>MARY WANJIRU</t>
  </si>
  <si>
    <t>JUDY NDUKU MWANZA</t>
  </si>
  <si>
    <t>JANEROSE AKINA NDUGUYU</t>
  </si>
  <si>
    <t>MIRIAM NASERIAN  SINDIYO</t>
  </si>
  <si>
    <t>Xray Chest, Lordotic Views</t>
  </si>
  <si>
    <t>FENITHA NYAKOBE MAYAKA</t>
  </si>
  <si>
    <t>DAMARIS MUMO MUTUKU</t>
  </si>
  <si>
    <t>SUSAN MUTUMA MUKAMI</t>
  </si>
  <si>
    <t>KIPEEN OLE SAYIALEL</t>
  </si>
  <si>
    <t>BEATRICE MUIRURI</t>
  </si>
  <si>
    <t>VIRGINIA NYAMBURA NGANGA</t>
  </si>
  <si>
    <t>DR MOKOMBA  ALFRED</t>
  </si>
  <si>
    <t>ANNE GACHAGU</t>
  </si>
  <si>
    <t>DR. MUTIE THOMAS</t>
  </si>
  <si>
    <t>JANET WAMWIRWA</t>
  </si>
  <si>
    <t>DR RASHID JUMAA BWIKA</t>
  </si>
  <si>
    <t>MOHAMED HERSI</t>
  </si>
  <si>
    <t>WAMBUA DAVIS MUEMA</t>
  </si>
  <si>
    <t>VIOLA JEPKIRUI MAIYO</t>
  </si>
  <si>
    <t>DR. TABANI NAIROBI HOSPITAL</t>
  </si>
  <si>
    <t>ALBERT MUSYOKI MWONGELA</t>
  </si>
  <si>
    <t>MATHEW WALKER</t>
  </si>
  <si>
    <t>DR PERIS NYAMBURA</t>
  </si>
  <si>
    <t>SUSAN WAITHERA KURIA</t>
  </si>
  <si>
    <t>SALOME WANGUI MWANGI</t>
  </si>
  <si>
    <t>DR. MUSALIA WYCLIFF</t>
  </si>
  <si>
    <t>PAULINE WANGUI MUTHONI</t>
  </si>
  <si>
    <t>ANGAZA NURU OMINDE</t>
  </si>
  <si>
    <t>DR. KIGERA JOSEPH</t>
  </si>
  <si>
    <t>BECKY VALERIE GENGA</t>
  </si>
  <si>
    <t>DR. OIDAMAE TOBIKO</t>
  </si>
  <si>
    <t>MARK MATAYIA</t>
  </si>
  <si>
    <t>PETER G KARIUKI</t>
  </si>
  <si>
    <t>MARTIN KIMOTHO</t>
  </si>
  <si>
    <t>MARY KAMUGO</t>
  </si>
  <si>
    <t>C.T Scan Film Re-print</t>
  </si>
  <si>
    <t>BONIFACE NGANGA NDUNGU</t>
  </si>
  <si>
    <t>MRI Bilateral Hips</t>
  </si>
  <si>
    <t>GEORGE OCHIENG</t>
  </si>
  <si>
    <t>SAMUEL KINYANJUI KAMAU</t>
  </si>
  <si>
    <t>SAMUEL NYAWANDA OKURO</t>
  </si>
  <si>
    <t>DR. NGAYU GODFREY</t>
  </si>
  <si>
    <t>NAFISA AHMED</t>
  </si>
  <si>
    <t>DORCUS CHEROTICH</t>
  </si>
  <si>
    <t>MARYAM DAHIR</t>
  </si>
  <si>
    <t>NANCY MANDERE NYANUMBA</t>
  </si>
  <si>
    <t>JANE AKINYI ACHANDO</t>
  </si>
  <si>
    <t>PETER MUTAVA</t>
  </si>
  <si>
    <t>GRACE KINYOE</t>
  </si>
  <si>
    <t>ALI  ABDI</t>
  </si>
  <si>
    <t>WILLIAM MOLU MALAU</t>
  </si>
  <si>
    <t>ADEL SHIHEMBEKHO</t>
  </si>
  <si>
    <t>IBRAHIM KARIYOW</t>
  </si>
  <si>
    <t>JAFAR MOHAMED HASSAN</t>
  </si>
  <si>
    <t>Xray both Hips</t>
  </si>
  <si>
    <t>CAROLINE CHEROTICH</t>
  </si>
  <si>
    <t>SELVI ARSLAN</t>
  </si>
  <si>
    <t>MARY BENARD MUSEMBI</t>
  </si>
  <si>
    <t>Xray Forearm, AP and Lateral</t>
  </si>
  <si>
    <t>KHADRO SAID</t>
  </si>
  <si>
    <t>AHMED SHUFLE AHMED</t>
  </si>
  <si>
    <t>JOSEPH NJUGUNA NJOKA</t>
  </si>
  <si>
    <t>MARTIN KOOME</t>
  </si>
  <si>
    <t>PATRICK MWANGI WAWERU</t>
  </si>
  <si>
    <t>DR. KONYA WALTER</t>
  </si>
  <si>
    <t>DANIEL OLOO ALUKHABA</t>
  </si>
  <si>
    <t>SIMALOY SARAH WANJIRU WAINAINA</t>
  </si>
  <si>
    <t>MARION MKIMBA WAFULA</t>
  </si>
  <si>
    <t>DR. WANYOIKE MARTIN</t>
  </si>
  <si>
    <t>PAULINE  NAITORE  MURIITHI</t>
  </si>
  <si>
    <t>GACE</t>
  </si>
  <si>
    <t>DR MOPE</t>
  </si>
  <si>
    <t>ROMANNAH NDUKU</t>
  </si>
  <si>
    <t>DR NJAGI</t>
  </si>
  <si>
    <t>CHRISTINE WANJIRU NJAGI</t>
  </si>
  <si>
    <t>DR DOROTHY MWAGAE SPINAL INJURY</t>
  </si>
  <si>
    <t>ERICK OYUGI MUMBO</t>
  </si>
  <si>
    <t>DR DEBBIE MUTU</t>
  </si>
  <si>
    <t>STEPHENE MAINA  THEURI</t>
  </si>
  <si>
    <t>DR. MUGWE WAMBUI INKA NEDICAL</t>
  </si>
  <si>
    <t>CHRISTOPHER HOWERTON</t>
  </si>
  <si>
    <t>CAOLINE WANJIKU</t>
  </si>
  <si>
    <t>HAMAN LIBAN BASHIR</t>
  </si>
  <si>
    <t>JAMAL LIBAN BASHIR</t>
  </si>
  <si>
    <t>DR. KAMBUNI ENT GREENSPAN</t>
  </si>
  <si>
    <t>JANE NJERI MWANGI</t>
  </si>
  <si>
    <t>DR EMMANUEL MUSEVE</t>
  </si>
  <si>
    <t>DR WANGARI NIVA</t>
  </si>
  <si>
    <t>TERESIA WAIRIMU WOKABI</t>
  </si>
  <si>
    <t>ERIC KORIR</t>
  </si>
  <si>
    <t>NANCY NYAMBURA MUCHIRI</t>
  </si>
  <si>
    <t>MUMTAZ HASSAN</t>
  </si>
  <si>
    <t>KQ PRIDE CLINIC DR VANESSA ODUNDO</t>
  </si>
  <si>
    <t>NI XON  ERASTUS  KHAYUNDI</t>
  </si>
  <si>
    <t>SIBIA KERUBO MOMANYI</t>
  </si>
  <si>
    <t>DR. FAITH EQUITY AFIA N.WEST</t>
  </si>
  <si>
    <t>LEONIDAS NIMPAGARITSE UMURUNDI</t>
  </si>
  <si>
    <t>MRI Bony Pelvis)</t>
  </si>
  <si>
    <t>DR JACOB MWIRIGI HALISI HOSPITAL</t>
  </si>
  <si>
    <t>GLORIA KALOO MUSYOKA</t>
  </si>
  <si>
    <t>HALIMA ABDI MOHAMED</t>
  </si>
  <si>
    <t>CAROLINE NJOKI NJUGUNA</t>
  </si>
  <si>
    <t>DR.NDEGE KINOTI</t>
  </si>
  <si>
    <t>ZIPPORAH KERUBO KERADI</t>
  </si>
  <si>
    <t>FREDRICK OUMA SIRE</t>
  </si>
  <si>
    <t>JACKSON KIMUE MUTYAUVYU</t>
  </si>
  <si>
    <t>DR BAGHA KQ PRICE CLINC</t>
  </si>
  <si>
    <t>IRENE GACHERI MUTHEE</t>
  </si>
  <si>
    <t>FRED WAIGWA MWANGI</t>
  </si>
  <si>
    <t>DOREEN KATHAMBI MAUTA</t>
  </si>
  <si>
    <t>MUA Insurance Kenya Ltd</t>
  </si>
  <si>
    <t>PETER IRUNGU NDEGWA</t>
  </si>
  <si>
    <t>CAROLINE NGALE AMINA</t>
  </si>
  <si>
    <t>CATHERINE WAITHERA</t>
  </si>
  <si>
    <t>TERESA ASILIVWA ONCHIRI</t>
  </si>
  <si>
    <t>IRENE NJOROGE</t>
  </si>
  <si>
    <t>DR BOSIRE</t>
  </si>
  <si>
    <t>MOURINE AKOTH MAPESA</t>
  </si>
  <si>
    <t>PRISCILLA MWANGI</t>
  </si>
  <si>
    <t>RONALD OTIENO</t>
  </si>
  <si>
    <t>DR KAKAI E</t>
  </si>
  <si>
    <t>FDANIEL KIMANI NJIRI</t>
  </si>
  <si>
    <t>HIND SULIMAN KHALID</t>
  </si>
  <si>
    <t>SARAH ABDU</t>
  </si>
  <si>
    <t>CLARICE WAIRIMU GATHURA</t>
  </si>
  <si>
    <t>JOYCE WAMBUI WAHOME</t>
  </si>
  <si>
    <t>EDNA MURIITHI</t>
  </si>
  <si>
    <t>MERCY KARORI</t>
  </si>
  <si>
    <t>JOYFAITH WANJIRU MURIMI</t>
  </si>
  <si>
    <t>KENYA AIRWAYS PRIDE CLINIC (KQ)</t>
  </si>
  <si>
    <t>JOHN ERIC KIMILU</t>
  </si>
  <si>
    <t>JOHN KAMAU WANGECI</t>
  </si>
  <si>
    <t>DR. SIGILAI WILLIAM</t>
  </si>
  <si>
    <t>ISABELLA KIRIMI</t>
  </si>
  <si>
    <t>DR. KIOKO HENRY</t>
  </si>
  <si>
    <t>ELIZABETH MUTHINA MUSILU</t>
  </si>
  <si>
    <t>DR. REGINA KENYATTA HOSPITAL</t>
  </si>
  <si>
    <t>ANGEL  KAYLAH</t>
  </si>
  <si>
    <t>MOSES GABRIEL</t>
  </si>
  <si>
    <t>PROF. OBURRA HERBERT</t>
  </si>
  <si>
    <t>SAID MOHAMUD</t>
  </si>
  <si>
    <t>NYAMUHOZA GASHABIRO</t>
  </si>
  <si>
    <t>PETER ONYANGO</t>
  </si>
  <si>
    <t>DR PENINAH KITILI</t>
  </si>
  <si>
    <t>JENNY ATIENO ODHIAMBO</t>
  </si>
  <si>
    <t>MRI Breast (Dynamic Imaging)</t>
  </si>
  <si>
    <t>ESTHER ANYANGO OPE</t>
  </si>
  <si>
    <t>STEPHEN NYANGAGA OKOTH</t>
  </si>
  <si>
    <t>LILIAN WAMBUI KAMAU</t>
  </si>
  <si>
    <t>DR NJERI NYANJA</t>
  </si>
  <si>
    <t>AMBUSO OTIENDE PHANICE</t>
  </si>
  <si>
    <t>ALEX MUEMA KIMANZI</t>
  </si>
  <si>
    <t>DR. P.W OMANYO KCB</t>
  </si>
  <si>
    <t>BRENDA MUKHWANA SIMIYU</t>
  </si>
  <si>
    <t>DR EDGAR NYANDEGERE</t>
  </si>
  <si>
    <t>NTABIRI THERESE NYIRADEZE</t>
  </si>
  <si>
    <t>DR. THIKRA SHARIF</t>
  </si>
  <si>
    <t>RAPHAEL OKEYO</t>
  </si>
  <si>
    <t>MRI Mobiviews Cervical Spine</t>
  </si>
  <si>
    <t>DR. MUGERA  SOLARACE</t>
  </si>
  <si>
    <t>PHYLLIS WANGUI HUNGU</t>
  </si>
  <si>
    <t>MBAROUKH GUSHALO</t>
  </si>
  <si>
    <t>BIBIANA MUUSI MUSYOKA</t>
  </si>
  <si>
    <t>SULEIMAN ABDINOOR</t>
  </si>
  <si>
    <t xml:space="preserve">DR. JYOTI SAHA AGAKHAN </t>
  </si>
  <si>
    <t>SUSAN ACHIENG OUKO</t>
  </si>
  <si>
    <t>ODA BIBIANA OKONDO</t>
  </si>
  <si>
    <t>PESI SIIRO</t>
  </si>
  <si>
    <t>PAUL KAISA KEANA</t>
  </si>
  <si>
    <t>FARHIYA DIHAD</t>
  </si>
  <si>
    <t>DR. DANIEL ZURIEL</t>
  </si>
  <si>
    <t>JUDITH ANASTACIA NJOROGE</t>
  </si>
  <si>
    <t>MICHAEL KATIKO MALUKI</t>
  </si>
  <si>
    <t>ANN TAKONA</t>
  </si>
  <si>
    <t>ANNE IMALI</t>
  </si>
  <si>
    <t>LUCKY FLORENCE CHEPKWEMOI</t>
  </si>
  <si>
    <t>REGINA WAITHERA</t>
  </si>
  <si>
    <t>MITCHELL ATIENO</t>
  </si>
  <si>
    <t>DORCAS NYOKABI NJOKI</t>
  </si>
  <si>
    <t>MARY GORRET WANYAMA</t>
  </si>
  <si>
    <t>DR KIBATHI.HIFU</t>
  </si>
  <si>
    <t>LEAH NJERI</t>
  </si>
  <si>
    <t>SHREE SWAMINARAYAN</t>
  </si>
  <si>
    <t>RICHARD KAMIRI</t>
  </si>
  <si>
    <t>MAURINE JUMA</t>
  </si>
  <si>
    <t>CO. MOHAMED NOOR.ZAZI</t>
  </si>
  <si>
    <t>AHMED BISHAR ALI</t>
  </si>
  <si>
    <t>DR. MANDELA AAR WILLIAMSON</t>
  </si>
  <si>
    <t>EDWIN MULOMA EDALIA</t>
  </si>
  <si>
    <t>DR MARTIN NDUATI</t>
  </si>
  <si>
    <t>EMILY KERUBO OTWOMA</t>
  </si>
  <si>
    <t>DR. BILHA NYAMEINO</t>
  </si>
  <si>
    <t>LEAH WATHIRA NJUNGE</t>
  </si>
  <si>
    <t>JULIET MUTHONI KARIUKI</t>
  </si>
  <si>
    <t>DR SAKET KANT MAXI</t>
  </si>
  <si>
    <t>PRINCE CHACHAM</t>
  </si>
  <si>
    <t>MARIA IMMACULATE</t>
  </si>
  <si>
    <t>ANN  NJERI MUREITHI</t>
  </si>
  <si>
    <t>MOSES ODIPO OTIENO</t>
  </si>
  <si>
    <t>GRACE NDUNGWA KIMITI</t>
  </si>
  <si>
    <t>STEPHEN NDUNGU NJUNGE</t>
  </si>
  <si>
    <t>DR. MUNGAI NAIROBI HOSP. GALARIA</t>
  </si>
  <si>
    <t>MARY CHEMTAI BII</t>
  </si>
  <si>
    <t>LYDIA MWIRARIA</t>
  </si>
  <si>
    <t>DR. NTHIWA CAROLINE KENYATTA HOSPITAL</t>
  </si>
  <si>
    <t>PURITY ELISI MUNYALO</t>
  </si>
  <si>
    <t>GEOFFREY MOYA OYUGI</t>
  </si>
  <si>
    <t>DAHIR HASSAN ABDILLE</t>
  </si>
  <si>
    <t>HABIBA AHMED</t>
  </si>
  <si>
    <t>INADA HASSAN  HIRSI</t>
  </si>
  <si>
    <t>MBERA HEAVEN HIMBAZA</t>
  </si>
  <si>
    <t>DR. ADAGI MARJORIE</t>
  </si>
  <si>
    <t>BETH SYOMBUA MUNYIVA</t>
  </si>
  <si>
    <t>DR ELIZABETH LIFECARE</t>
  </si>
  <si>
    <t>ELIZABETH MWIKALI</t>
  </si>
  <si>
    <t>DR NDEGE CN IVORY HEALTH SOLUTION</t>
  </si>
  <si>
    <t>WANDEI ATIENO JULIET</t>
  </si>
  <si>
    <t>HEALTH GATE HOSPITAL</t>
  </si>
  <si>
    <t>ABDIWAHI ISSE ABDI</t>
  </si>
  <si>
    <t>DR AMANYA KQ PRIDE CLINIC</t>
  </si>
  <si>
    <t>MARTHA WANJIRU MUHOHO</t>
  </si>
  <si>
    <t>RASHIDA WANJIKU NJAU</t>
  </si>
  <si>
    <t>LUCY WANJIRU MAINA</t>
  </si>
  <si>
    <t>DR. MUGENDI FLAVIO.NAIROBI WOMENS</t>
  </si>
  <si>
    <t>APERNGO THWOI OTHOW</t>
  </si>
  <si>
    <t>DR. KIMANI DAVID (D.K)</t>
  </si>
  <si>
    <t>HON. ABDI KHAMIS CHOME</t>
  </si>
  <si>
    <t>DR. ATHMAN NAIROBI SOUTH</t>
  </si>
  <si>
    <t>HADI SHEIKH FARAH</t>
  </si>
  <si>
    <t>KOSSAI KOUAME</t>
  </si>
  <si>
    <t>DR. IRUNGU KQ PRIDE CLINIC</t>
  </si>
  <si>
    <t>JABARI NGANGI</t>
  </si>
  <si>
    <t>HALIMA ABDI</t>
  </si>
  <si>
    <t>SWABRIMA SAHIU</t>
  </si>
  <si>
    <t>ANASTACIA MBURU</t>
  </si>
  <si>
    <t>JULIET WAIRIMU MUREITHI</t>
  </si>
  <si>
    <t>DR. NGIGI JOHN COPTIC HOSPITAL.</t>
  </si>
  <si>
    <t>SIPRINA ATIENO  RIAGA</t>
  </si>
  <si>
    <t>SERAH NDINDA NGILA</t>
  </si>
  <si>
    <t>Ultrasound Fibroscan</t>
  </si>
  <si>
    <t>SYLVIA BARONGO CHARLES</t>
  </si>
  <si>
    <t>LYDIA MWIRANA</t>
  </si>
  <si>
    <t>CATHRINE AGINA</t>
  </si>
  <si>
    <t>EDNA OKELLO</t>
  </si>
  <si>
    <t>SUSAN MUMBI MUCHEKE</t>
  </si>
  <si>
    <t>SULEKHO HUSSEIN</t>
  </si>
  <si>
    <t>BERNARD ODHIAMBO NGAR</t>
  </si>
  <si>
    <t>SUSAN NYOKABI NDEGWA</t>
  </si>
  <si>
    <t>ALICE NYAMBURA</t>
  </si>
  <si>
    <t>CHIBULE MWANGOLO</t>
  </si>
  <si>
    <t>DOMINIC AJWANG</t>
  </si>
  <si>
    <t>AAR HEALTHCARE DR.BATUL</t>
  </si>
  <si>
    <t>JANE LUCY MBUGUA</t>
  </si>
  <si>
    <t>SAADI IBRAHIM DAVID</t>
  </si>
  <si>
    <t>DR HEMANGI SANE M.D</t>
  </si>
  <si>
    <t>NADIA CHELSEA</t>
  </si>
  <si>
    <t>OLUGA EVANS</t>
  </si>
  <si>
    <t>BRADLEY DAVID MBATI CONGO</t>
  </si>
  <si>
    <t>EVA CHEPNGETICH BARMASSE</t>
  </si>
  <si>
    <t>METROCARE HEALTH CLINIC</t>
  </si>
  <si>
    <t>KENNETH KITHINJI KIURAH</t>
  </si>
  <si>
    <t>MERIDIAN MEDICAL CENTRE</t>
  </si>
  <si>
    <t>JAMES WACHIRA MAHIHU</t>
  </si>
  <si>
    <t>EDGAR OMBUNA OSEGE</t>
  </si>
  <si>
    <t>MRI Humerus</t>
  </si>
  <si>
    <t>DR. KARANJA JOEL ST PETERS</t>
  </si>
  <si>
    <t>JOSEPHINE NJERI NGINYA</t>
  </si>
  <si>
    <t>PURITY WANJIKU WAWERU</t>
  </si>
  <si>
    <t>DR. KINGORI JOHN</t>
  </si>
  <si>
    <t>VIRGINIA NYAWIRA</t>
  </si>
  <si>
    <t>BENJAMIN ISAAC MASUE</t>
  </si>
  <si>
    <t>DIANA JOHN ISAYA</t>
  </si>
  <si>
    <t>MARIAM HASHIM RAJAB</t>
  </si>
  <si>
    <t>HASHIM OMAR HASHIM</t>
  </si>
  <si>
    <t>DR CEASAR GITHINJI</t>
  </si>
  <si>
    <t>HALIMA OMAR SHAGE</t>
  </si>
  <si>
    <t>JENIFFER KOORU KINOTI</t>
  </si>
  <si>
    <t>DR. MATHENGE</t>
  </si>
  <si>
    <t>CAROLINE WAMBUI IRUNGU</t>
  </si>
  <si>
    <t>DR PETER OCHUNGO</t>
  </si>
  <si>
    <t>GEOFREY LEMANTA SALAL</t>
  </si>
  <si>
    <t>ANDREW ODHIAMBO</t>
  </si>
  <si>
    <t>MARTHA OWINO ABBOT</t>
  </si>
  <si>
    <t>DR SAMUEL MIRIMI</t>
  </si>
  <si>
    <t>MERCY KANANA</t>
  </si>
  <si>
    <t>BALQEISA MOHAMED</t>
  </si>
  <si>
    <t>DR. MWITURA</t>
  </si>
  <si>
    <t>JANE WANJIRU KAGANJO</t>
  </si>
  <si>
    <t>ANNE WAMBUI GICHUHI</t>
  </si>
  <si>
    <t>ROBERT MUTHAMI MWANZIA</t>
  </si>
  <si>
    <t>MERCYLINE NASILOLI SIKASA</t>
  </si>
  <si>
    <t>CYNTHIA OTUMA MUKOSHI</t>
  </si>
  <si>
    <t>DR WAMUTITU</t>
  </si>
  <si>
    <t>GRACE KARIMI</t>
  </si>
  <si>
    <t>Xray both Knees (AP, Lateral, Skyline &amp; Tunnel/ Intercondylar Notch Views)</t>
  </si>
  <si>
    <t>YVETTE ATIENO  ONDACHI</t>
  </si>
  <si>
    <t>AAR HEALTHCARE - BURUBURU</t>
  </si>
  <si>
    <t>FARHIYA ABDIWELI</t>
  </si>
  <si>
    <t>DR MOGERE AAR WILLIAMSON</t>
  </si>
  <si>
    <t>NAOMI MUIRURI</t>
  </si>
  <si>
    <t>CO. KIMUYU FIDELIS</t>
  </si>
  <si>
    <t>CALEB MWENDWA</t>
  </si>
  <si>
    <t>DR DOROTHY ATHEMBO AAR WILLIAMSON</t>
  </si>
  <si>
    <t>MILLICENT OMONDI MAGOLO</t>
  </si>
  <si>
    <t>DR. CHIRCHIR COLLINS</t>
  </si>
  <si>
    <t>SUSAN MUTHONI GIKUNG`A</t>
  </si>
  <si>
    <t>CECILIA KHADUHI</t>
  </si>
  <si>
    <t>DR MAKORI ENOCH MIRAZI</t>
  </si>
  <si>
    <t>Mariam Simuli Binale Mwaka</t>
  </si>
  <si>
    <t>DR BWIRE BARAZA</t>
  </si>
  <si>
    <t>SAMUEL KASIKUA MURE</t>
  </si>
  <si>
    <t>C.T Facial bones with 3D Reconstruction</t>
  </si>
  <si>
    <t>DR. MASINDE PETER - ENT</t>
  </si>
  <si>
    <t>MARILYN MURUGI KIURA</t>
  </si>
  <si>
    <t>DOUGLAS SAYIALEL NJERI</t>
  </si>
  <si>
    <t>MAIMUN HAMISI MWALIM</t>
  </si>
  <si>
    <t>DR. MOKOMBA ALFRED KNH</t>
  </si>
  <si>
    <t>LUCY MORAA NYARIANGO</t>
  </si>
  <si>
    <t>DANIEL OMAYO</t>
  </si>
  <si>
    <t>STEPHEN GITONGA MAROO</t>
  </si>
  <si>
    <t>VALLEY ARCADE MEDICAL DR JUNE SHARON AKOTH</t>
  </si>
  <si>
    <t>JOSEPH ONYANGO</t>
  </si>
  <si>
    <t>DR. ERICK AHONO</t>
  </si>
  <si>
    <t>TABITHA WANJIKU</t>
  </si>
  <si>
    <t>ZIPPORAH KAMARA THUO</t>
  </si>
  <si>
    <t>DR. WABWIRE SILVANUS</t>
  </si>
  <si>
    <t>LUCY WANJIKU</t>
  </si>
  <si>
    <t>CHARITY MUTHONI</t>
  </si>
  <si>
    <t>KQ PRIDE CLINIC DR MERCY MULIRA</t>
  </si>
  <si>
    <t>DUNCAN THUO KAMAU</t>
  </si>
  <si>
    <t>JOSHUA KARIITHI MUTHII</t>
  </si>
  <si>
    <t>LISA AKILA</t>
  </si>
  <si>
    <t>ZAMZAM YUSSUF</t>
  </si>
  <si>
    <t>SUADA SULEIMAN</t>
  </si>
  <si>
    <t>DR. MUSYOKA DAVID NDONYE</t>
  </si>
  <si>
    <t>ABDI YUSSUF NOOR</t>
  </si>
  <si>
    <t>JULIUS MUGECE</t>
  </si>
  <si>
    <t>MARGARET NYORO</t>
  </si>
  <si>
    <t>SHUKRI IBRAHIM ISMAIL</t>
  </si>
  <si>
    <t>ESTHER  WACHAGA NYAMBURA</t>
  </si>
  <si>
    <t>JOAN GATHONI KINYUA</t>
  </si>
  <si>
    <t>PAULINE WANJIKU NJARAMBA</t>
  </si>
  <si>
    <t>HELLEN WANJIRU MWANGI</t>
  </si>
  <si>
    <t>EUNICE ODHIAMBO</t>
  </si>
  <si>
    <t>JEDIDAH WANGARI</t>
  </si>
  <si>
    <t>STEPHANIE WACHERA</t>
  </si>
  <si>
    <t>JENNIFER ANDENDE</t>
  </si>
  <si>
    <t>ABDULWAHAB ABDULAZIZ</t>
  </si>
  <si>
    <t>LYDIA AMBASA ANDENYI</t>
  </si>
  <si>
    <t>CHIROPRACTIC PHYSIOTHERAPY DR LEONARD</t>
  </si>
  <si>
    <t>ANNE BAILLARGEON</t>
  </si>
  <si>
    <t>MATILDA DEL</t>
  </si>
  <si>
    <t>DR CHERONO</t>
  </si>
  <si>
    <t>KIFLE LUCIA MEHARI</t>
  </si>
  <si>
    <t>OLUGA</t>
  </si>
  <si>
    <t>ANGELA MAKAU</t>
  </si>
  <si>
    <t>MONICAH MUTHONI WAMBGU</t>
  </si>
  <si>
    <t>NELSON KAMAU NGANGA</t>
  </si>
  <si>
    <t>DR. KAMAU KABEU (J.K)</t>
  </si>
  <si>
    <t>GRACE WANJIRU</t>
  </si>
  <si>
    <t>BETH WANJIRU NJUGUNA</t>
  </si>
  <si>
    <t>UWIMANA NGARIBE</t>
  </si>
  <si>
    <t>PROF. OKELLO G.B.A</t>
  </si>
  <si>
    <t>CHLOE AKUMU ADEM</t>
  </si>
  <si>
    <t>DR. MUHINGA MORRIS</t>
  </si>
  <si>
    <t>IRENE CHEPOISHO TULEL</t>
  </si>
  <si>
    <t>CHANTAL OCHANG AKINYI</t>
  </si>
  <si>
    <t>NAIROBI HOSPITAL DR ONGORO STANLEY</t>
  </si>
  <si>
    <t>Maryanne Wambui Wahinya</t>
  </si>
  <si>
    <t>DR. GIKANDI KUGURU</t>
  </si>
  <si>
    <t>GEORGE NJOROGE  NJUGUNA</t>
  </si>
  <si>
    <t>DR MOSES MBUTHU</t>
  </si>
  <si>
    <t>PATRICIA MUTHONI KINGORI</t>
  </si>
  <si>
    <t>JAPHET SONGOK</t>
  </si>
  <si>
    <t>HAGIE CAMARA</t>
  </si>
  <si>
    <t>DR. MATU JOSHUA</t>
  </si>
  <si>
    <t>DUNCAN MUTHEMBWA</t>
  </si>
  <si>
    <t>NICKSON MUSYOKA</t>
  </si>
  <si>
    <t>TRISTAM ODHIAMBO</t>
  </si>
  <si>
    <t>DR MBAKA AAR CITY CENTRE</t>
  </si>
  <si>
    <t>MERCY MURUMBA BARASA</t>
  </si>
  <si>
    <t>AJANI FRANK</t>
  </si>
  <si>
    <t>HAYAT AHMED</t>
  </si>
  <si>
    <t>DR. ONDIEGE JAMES N SPINE</t>
  </si>
  <si>
    <t>EUGENE OMONDI MONDLANE</t>
  </si>
  <si>
    <t>C.T Scan Wrist</t>
  </si>
  <si>
    <t>DR. GAKUYA EDWARD</t>
  </si>
  <si>
    <t>NTSHTI GEBREMARYAM</t>
  </si>
  <si>
    <t>CHARLES MUTEITHIA KAGURE</t>
  </si>
  <si>
    <t>TWAHA HARUNA MBONEZA</t>
  </si>
  <si>
    <t>DR CHAUHAN SINGH NYERI</t>
  </si>
  <si>
    <t>JOYCE WANGECI RUBUYA</t>
  </si>
  <si>
    <t>GLORIA ABABU</t>
  </si>
  <si>
    <t>MAGDALINE MOTIKA</t>
  </si>
  <si>
    <t>EDITH KIARIE</t>
  </si>
  <si>
    <t>RUTH GASSON</t>
  </si>
  <si>
    <t>LANA HAFIZ</t>
  </si>
  <si>
    <t>LILIAN YINDA</t>
  </si>
  <si>
    <t>Xray Humerus, AP and Lateral</t>
  </si>
  <si>
    <t>MVUTU BAYA</t>
  </si>
  <si>
    <t>KIAN KAPLELACH KOMINGOI</t>
  </si>
  <si>
    <t>FARDOWSA BASHIR</t>
  </si>
  <si>
    <t>DR ADHEN ABDULLAHI</t>
  </si>
  <si>
    <t>SHIRDON MUSE FARAH</t>
  </si>
  <si>
    <t>Xray TMJ Views</t>
  </si>
  <si>
    <t xml:space="preserve">DR ALAKI ODONGO </t>
  </si>
  <si>
    <t>DR BISHAR ALI</t>
  </si>
  <si>
    <t>ODHIAMBO ANDREW</t>
  </si>
  <si>
    <t>RINA NZOKI KANYI</t>
  </si>
  <si>
    <t>TERRY KWAMBOKA</t>
  </si>
  <si>
    <t>DR. DALMAS CARE AND CURE</t>
  </si>
  <si>
    <t>STEPHEN MULI MUIA</t>
  </si>
  <si>
    <t>DR. EMMANUEL KIPROP</t>
  </si>
  <si>
    <t>RUTH JULINA MBILIKI</t>
  </si>
  <si>
    <t>ROBERT OCHIENG</t>
  </si>
  <si>
    <t>DR OKUMU</t>
  </si>
  <si>
    <t>MARY WACHERA KAMAU</t>
  </si>
  <si>
    <t>LOISE MORINGO KABUBII</t>
  </si>
  <si>
    <t>C.T Aortogram</t>
  </si>
  <si>
    <t>MESHACK NGUGI MATHEKA</t>
  </si>
  <si>
    <t>RUTH KERUBO</t>
  </si>
  <si>
    <t>AAR HEALTHCARE - SARIT CENTRE</t>
  </si>
  <si>
    <t>DAVID KISINDAI</t>
  </si>
  <si>
    <t>ALLIANCE HOSPITAL DR. DAHIR</t>
  </si>
  <si>
    <t>HASSAN OMAR</t>
  </si>
  <si>
    <t>ABIGAEL WANJIKU GAKURU</t>
  </si>
  <si>
    <t>DR. DUNCAN</t>
  </si>
  <si>
    <t>TITUS WAITHAKA</t>
  </si>
  <si>
    <t>ANN WANGUI MBUGI</t>
  </si>
  <si>
    <t>DR. MUGENDI FLAVIO</t>
  </si>
  <si>
    <t>TARISON LEKERPEES</t>
  </si>
  <si>
    <t>OLYMPIA CHEPCHUMBA</t>
  </si>
  <si>
    <t>HILDA OLINDO</t>
  </si>
  <si>
    <t>LYDIA BARONGO NYABOKE</t>
  </si>
  <si>
    <t>WENDY KEMUNTO OIRA</t>
  </si>
  <si>
    <t>CHRISTINE MWIKALI KATHUKU</t>
  </si>
  <si>
    <t>DR JACOB MWIRIGI</t>
  </si>
  <si>
    <t>ZAHRA SALIM</t>
  </si>
  <si>
    <t>MARY WAMBUI MUTHONI</t>
  </si>
  <si>
    <t>DR STANFORD KINAMA UON</t>
  </si>
  <si>
    <t>BEVERLY OMBUI KWAMBOKA</t>
  </si>
  <si>
    <t>GLORY DISMAS MWYANGABE</t>
  </si>
  <si>
    <t>LEILA MOHAMED</t>
  </si>
  <si>
    <t>DR. ONGULO BARACK</t>
  </si>
  <si>
    <t>OMAR ABDIAZIZ OMAR</t>
  </si>
  <si>
    <t>DICKSON ABANIMI AMUGSI</t>
  </si>
  <si>
    <t>DR. WANJOHI ESTHER</t>
  </si>
  <si>
    <t>GRACE NGENDO MWANGI</t>
  </si>
  <si>
    <t>DR.WANJIRU  NDEGWA</t>
  </si>
  <si>
    <t>SARAH RIZIKI CHENGO</t>
  </si>
  <si>
    <t>DR MACHIRA</t>
  </si>
  <si>
    <t>BETH THITHI</t>
  </si>
  <si>
    <t>NAOM BARONGO MAYUNGA</t>
  </si>
  <si>
    <t>ESTHER WANJIKU MUNENE</t>
  </si>
  <si>
    <t>DR. HAMISI DOMINIA</t>
  </si>
  <si>
    <t>MODESTA M. MUKA</t>
  </si>
  <si>
    <t>JAMES GICHUHI</t>
  </si>
  <si>
    <t>DR. JAI</t>
  </si>
  <si>
    <t>ALICE KULIA PATRICK SABUNI</t>
  </si>
  <si>
    <t>BRENDA OKOTH</t>
  </si>
  <si>
    <t>DR. MARIUS</t>
  </si>
  <si>
    <t>TABITHA WAMBUI</t>
  </si>
  <si>
    <t>X-ray Films</t>
  </si>
  <si>
    <t>JANE MATUKU</t>
  </si>
  <si>
    <t>WILLIAM KAMKET</t>
  </si>
  <si>
    <t>KEVIN KAKAI</t>
  </si>
  <si>
    <t>APRIL WK3</t>
  </si>
  <si>
    <t>CO. MWANDIKINRB WEST CHILDREN</t>
  </si>
  <si>
    <t>MAHIR SHALLOW ABDULLAHI</t>
  </si>
  <si>
    <t>DR.FARAJ ALIKIM</t>
  </si>
  <si>
    <t>ADAN DIMBIL ALI</t>
  </si>
  <si>
    <t>PAUL MUSAU MUTHIANI</t>
  </si>
  <si>
    <t>SUSAN KALEKYE</t>
  </si>
  <si>
    <t>DR. CARNJINI AAR WILLIAMSON</t>
  </si>
  <si>
    <t>MARTIN ESHIWANI ONYANGO</t>
  </si>
  <si>
    <t>DR JESSE WINSTON MEDICAL</t>
  </si>
  <si>
    <t>ISAACK KISANYA</t>
  </si>
  <si>
    <t>ANN MERCY WAFULA</t>
  </si>
  <si>
    <t>MARGARET KAREMPU NAIRESIAE</t>
  </si>
  <si>
    <t>CAROLINE WANJIRU NGUGI</t>
  </si>
  <si>
    <t>NICHOLAS KIPTOO CHERUIYOT</t>
  </si>
  <si>
    <t>JUDITH NKATANA KAGWIRIA</t>
  </si>
  <si>
    <t>SAMUEL GITONGA</t>
  </si>
  <si>
    <t>EUNICE SIALALA</t>
  </si>
  <si>
    <t>DR SARICH</t>
  </si>
  <si>
    <t>SOLOMON LERIONKA NKINAYIO</t>
  </si>
  <si>
    <t>WATER FRONT CLINIC DR CARNJINI YOGESWARAN</t>
  </si>
  <si>
    <t>EDISON MULUMBI</t>
  </si>
  <si>
    <t>JACOB  MUKENGA MWINZI</t>
  </si>
  <si>
    <t>IRENE WANJIRU MWANGI</t>
  </si>
  <si>
    <t>MRI Both Feet</t>
  </si>
  <si>
    <t>ROBERT RUKEBA RWAKANA</t>
  </si>
  <si>
    <t xml:space="preserve"> KQ PRIDE CLINIC DR AMANYA</t>
  </si>
  <si>
    <t>VINCENT LUKAYU ADEMBESA</t>
  </si>
  <si>
    <t>DR. KAGURI KANJA</t>
  </si>
  <si>
    <t>SALLY MWENDWA</t>
  </si>
  <si>
    <t>MAGIIR DENG GARANG</t>
  </si>
  <si>
    <t>ZAKI JAMIL</t>
  </si>
  <si>
    <t>DR STEVEN OTIENO NRB WOMEN</t>
  </si>
  <si>
    <t>MERCY CHIYUMBA KHASIANI</t>
  </si>
  <si>
    <t>M P SHAH</t>
  </si>
  <si>
    <t>LINDSEY WAIRIMU NJERU</t>
  </si>
  <si>
    <t>SIMON MUINDE WEWA</t>
  </si>
  <si>
    <t>IVY MOKEIRA CONGO</t>
  </si>
  <si>
    <t>RFH HOSPITAL TARUS JULIET</t>
  </si>
  <si>
    <t>ROSE MUTHONI MWANGI</t>
  </si>
  <si>
    <t>DR. OTSYENO FRED</t>
  </si>
  <si>
    <t>HUMPHREY KIMANI MWANGI</t>
  </si>
  <si>
    <t>OCHIENG, LYDIA AWUOR</t>
  </si>
  <si>
    <t>EVA MURUGI MATHENGE</t>
  </si>
  <si>
    <t>ELIZABETH RUTTO</t>
  </si>
  <si>
    <t>MARGARET KINYA</t>
  </si>
  <si>
    <t>JANE NYAMBURA MUCHIRI</t>
  </si>
  <si>
    <t>ADEN SHEEKDOON</t>
  </si>
  <si>
    <t>VANESSAA NTAKIRUTIMANA</t>
  </si>
  <si>
    <t>DR WACHIRA MURAGE</t>
  </si>
  <si>
    <t>LOISE NYAWIRA WARUGONGO</t>
  </si>
  <si>
    <t>ESTHER MUTHOKA</t>
  </si>
  <si>
    <t>JANET NJERI KIROTO</t>
  </si>
  <si>
    <t>SABINAH AKOTH ONDURU</t>
  </si>
  <si>
    <t>LINDSEY KHASOHA SIMANI</t>
  </si>
  <si>
    <t>JOHN MWENJA NGUMBA</t>
  </si>
  <si>
    <t>HAWO GESEY ASIR</t>
  </si>
  <si>
    <t>SERA NDUKO</t>
  </si>
  <si>
    <t>SARAH WANGARA</t>
  </si>
  <si>
    <t>SUSAN MICERE MATHENGE</t>
  </si>
  <si>
    <t>JACKLINE MWILU</t>
  </si>
  <si>
    <t>STEPHEN NGENO</t>
  </si>
  <si>
    <t>PATRICIA KANINI</t>
  </si>
  <si>
    <t>NATASHA MUKUNDI</t>
  </si>
  <si>
    <t>BONI MARWA</t>
  </si>
  <si>
    <t>CO. KATO RONALD</t>
  </si>
  <si>
    <t>ELIAS NYAMLELL</t>
  </si>
  <si>
    <t>DR RICHARD KURIA</t>
  </si>
  <si>
    <t>SALOME TAIGET</t>
  </si>
  <si>
    <t>MARY NYAMBURA MACHARIA</t>
  </si>
  <si>
    <t>SAMSON MWANGI NJUGUNA</t>
  </si>
  <si>
    <t>DR ATONI JARED</t>
  </si>
  <si>
    <t>JOSEPH ODONGO OTIENO</t>
  </si>
  <si>
    <t>DR DAVID WAIYEGO ST. STEPHAN</t>
  </si>
  <si>
    <t>ZAYNE MUCHAI</t>
  </si>
  <si>
    <t>Ultrasound Cranial</t>
  </si>
  <si>
    <t>DR MOGERE NAIROBI  HOSP</t>
  </si>
  <si>
    <t>MAGESE JOMBO SILIMU</t>
  </si>
  <si>
    <t>BENSON KIPRONO</t>
  </si>
  <si>
    <t>PETER KASAINE OLE</t>
  </si>
  <si>
    <t>JOSPHAT MAINA MUTUGI</t>
  </si>
  <si>
    <t>ZAINAB MOHAMED</t>
  </si>
  <si>
    <t>SUSAN ATYANG OKADIKOR</t>
  </si>
  <si>
    <t>WARSAME HIREY</t>
  </si>
  <si>
    <t>DR JOMO</t>
  </si>
  <si>
    <t>PETER MUAMBI NAITULI</t>
  </si>
  <si>
    <t>DUNCAN OYULA SUNGUTI</t>
  </si>
  <si>
    <t>ROSE NYAMBURA MBUGGUSS</t>
  </si>
  <si>
    <t>DR SARAN</t>
  </si>
  <si>
    <t>DIANA MUTHONI KIHARA</t>
  </si>
  <si>
    <t>DR NAFULA</t>
  </si>
  <si>
    <t>PETER NYONGESA MUKISU</t>
  </si>
  <si>
    <t>DR FRANK</t>
  </si>
  <si>
    <t>TRACY HARRIET WANJIKU</t>
  </si>
  <si>
    <t>BANCY KARIMI MURIITHI</t>
  </si>
  <si>
    <t>ELIZABETH MUTHONI MAINA</t>
  </si>
  <si>
    <t>MILCA CHERONO SIGEI</t>
  </si>
  <si>
    <t>CYNTHIA MAKENA KOOME</t>
  </si>
  <si>
    <t>MOHAMED ABDIRAHMAN KAARE</t>
  </si>
  <si>
    <t>CHANTAL MUTINDI NBUVI</t>
  </si>
  <si>
    <t>HAMARA ABDULLAHI</t>
  </si>
  <si>
    <t>maryama moalim</t>
  </si>
  <si>
    <t>LINDA ADHIAMBO OMONDI</t>
  </si>
  <si>
    <t>ASHA SHABANI</t>
  </si>
  <si>
    <t>ABDI AHMED</t>
  </si>
  <si>
    <t>AMINA HASSAN</t>
  </si>
  <si>
    <t>ROSE NYAMBURA MBUGUSS</t>
  </si>
  <si>
    <t>ESTHER MWELU MUSYOKI</t>
  </si>
  <si>
    <t>DR NISHA SWAMINARAYAN</t>
  </si>
  <si>
    <t>EZEKIEL NINGANZA</t>
  </si>
  <si>
    <t>Shree Swaminarayan Hospital</t>
  </si>
  <si>
    <t>HEALTH GATE</t>
  </si>
  <si>
    <t>FARTUM AHMED  MOHAMED</t>
  </si>
  <si>
    <t>CO. NGONGA ANTONY KOMAROCK MODERN</t>
  </si>
  <si>
    <t>PRISCAH CHEPNGETICH</t>
  </si>
  <si>
    <t>DR. MANDELA</t>
  </si>
  <si>
    <t>VELMA LASOI LEKEN</t>
  </si>
  <si>
    <t>ELIZABETHJOY NYAKAIRU  MUGO</t>
  </si>
  <si>
    <t>EQUITY AFIA KAWANGARE.DR JOHO</t>
  </si>
  <si>
    <t>HILDAH NYANJUKI</t>
  </si>
  <si>
    <t>LOKOSANG  WANI LEMI</t>
  </si>
  <si>
    <t>FLORENCE WAMBUI</t>
  </si>
  <si>
    <t>DR GILBERT OBURU JAGERO</t>
  </si>
  <si>
    <t>GRACE WANJIKU GITHIEYA</t>
  </si>
  <si>
    <t>PURITY NYAKIO MUTHII</t>
  </si>
  <si>
    <t>DR FARIDAH LIFECARE SYOKIMAU</t>
  </si>
  <si>
    <t>ESTHER NJOKI NJUGUNA</t>
  </si>
  <si>
    <t>DR PAUL WANGALWA S.CALVARY HILL</t>
  </si>
  <si>
    <t>TERERE OLE MALOI</t>
  </si>
  <si>
    <t>C.T Scan Bony Pelvis</t>
  </si>
  <si>
    <t xml:space="preserve">DR. KARANJA MIRIAM </t>
  </si>
  <si>
    <t>PURITY WANGUI KAMAU</t>
  </si>
  <si>
    <t>ADEY HASSAN MUHUMED</t>
  </si>
  <si>
    <t>DR ABDULLAHI NRB SOUTH HOSPITAL</t>
  </si>
  <si>
    <t>LEILA IBRAHIM ABDULLAHI</t>
  </si>
  <si>
    <t>KENYA AIRWAYS PRIDE CLINIC (KQ) JACKSON</t>
  </si>
  <si>
    <t>RAYMOND SOMBA</t>
  </si>
  <si>
    <t>ROBERT RUKEMBA RAKWANA</t>
  </si>
  <si>
    <t>JANE KINGA</t>
  </si>
  <si>
    <t>WAITITO  NGUGI</t>
  </si>
  <si>
    <t>PATRICIA NANYANZI</t>
  </si>
  <si>
    <t>SAYED AFSHA</t>
  </si>
  <si>
    <t>DR. MBUGUA  KIJABE HOSP.</t>
  </si>
  <si>
    <t>BERYL MULWALE OPEMBE</t>
  </si>
  <si>
    <t>ANDREW NGANGA KAMAU</t>
  </si>
  <si>
    <t>JULIE CAROLINE MWASHI</t>
  </si>
  <si>
    <t xml:space="preserve">KQ PRIDE CLINIC DR.OPONDO </t>
  </si>
  <si>
    <t>MOULYNE NYANGASI KAVONGI</t>
  </si>
  <si>
    <t xml:space="preserve"> KITENGELA MEDICAL VICTOR</t>
  </si>
  <si>
    <t>DAVID OUMA OTIENO</t>
  </si>
  <si>
    <t>FALASTIN ABDIWELI MOHAMED</t>
  </si>
  <si>
    <t>DR. MBOGO AVENUE HOSPITAL</t>
  </si>
  <si>
    <t>BEATRICE NYAMWITHA</t>
  </si>
  <si>
    <t>THE RELIANCE HOSPITAL ABDULLAHI ISSACK</t>
  </si>
  <si>
    <t>HODHO DAHIR ABDI</t>
  </si>
  <si>
    <t>DR. GIKENYE GICHAMBIRA</t>
  </si>
  <si>
    <t>KHALID MOHAMUD ABDIKARIM</t>
  </si>
  <si>
    <t>JAPHETH OMARE OMWERI</t>
  </si>
  <si>
    <t>VIVIAN ATIENO</t>
  </si>
  <si>
    <t>THON WAL</t>
  </si>
  <si>
    <t>THOMAS NYAMWARO TENGEYA</t>
  </si>
  <si>
    <t xml:space="preserve">KENYATTA NATIONAL HOSPITAL (KNH) DR.OMONDI </t>
  </si>
  <si>
    <t>MILLICENT MBURU</t>
  </si>
  <si>
    <t>WIL OJULU ODOI</t>
  </si>
  <si>
    <t>DR F A OWILLAH</t>
  </si>
  <si>
    <t>ABDIWALI AHMED GELLE</t>
  </si>
  <si>
    <t>DR. KAHUHO CHRISTOPHER</t>
  </si>
  <si>
    <t>IKRAN MOHAMED</t>
  </si>
  <si>
    <t>NAIROBI SOUTH HOSPITAL.DR AISHA</t>
  </si>
  <si>
    <t>AYAN YUNIS JIMALE</t>
  </si>
  <si>
    <t>CYNTHIA ALICE OCHIENG</t>
  </si>
  <si>
    <t>DR. NYAGAKA</t>
  </si>
  <si>
    <t>EDITH WANJIKU KIMONDO</t>
  </si>
  <si>
    <t>PAULINE MBESA WAMBUA</t>
  </si>
  <si>
    <t>DR JUMA</t>
  </si>
  <si>
    <t>FLORENCE ODHIAMBO</t>
  </si>
  <si>
    <t>DR. MUIVA JULIANA</t>
  </si>
  <si>
    <t>DION TRAVIS MASITA</t>
  </si>
  <si>
    <t>MARGRET KENYATA</t>
  </si>
  <si>
    <t>JOSHUA KILONZO</t>
  </si>
  <si>
    <t>DR. MUNENE PETER</t>
  </si>
  <si>
    <t>WINNIE OTIENO OKELLO</t>
  </si>
  <si>
    <t>DR HUNGU ERICK</t>
  </si>
  <si>
    <t>MERCY NJOKI NYAGAH</t>
  </si>
  <si>
    <t>STEPHEN MURITHI ORAS</t>
  </si>
  <si>
    <t>SHARMA KARU</t>
  </si>
  <si>
    <t>MERCY MASHETI</t>
  </si>
  <si>
    <t>TIMOTHY KENNETH MULONDO</t>
  </si>
  <si>
    <t>MARY NDUKU MUOKI</t>
  </si>
  <si>
    <t>DR MOSES MBUTHU NGEI</t>
  </si>
  <si>
    <t>SYLVIA MUGURE CHEGE</t>
  </si>
  <si>
    <t>DR. KAMAU KABEU</t>
  </si>
  <si>
    <t>ABDIWADUD ABDIFATAH</t>
  </si>
  <si>
    <t>TASLIM ABDIFATAH</t>
  </si>
  <si>
    <t>MANAL HUSSEIN</t>
  </si>
  <si>
    <t>DR TAHA</t>
  </si>
  <si>
    <t>BEATRICE WANJA</t>
  </si>
  <si>
    <t>IQRA OMAR</t>
  </si>
  <si>
    <t>ARTAH SARANGE ORINAH</t>
  </si>
  <si>
    <t>DR GEORGE EQUITY AFIA SB</t>
  </si>
  <si>
    <t>FAHEEM NGANGA JUMA</t>
  </si>
  <si>
    <t>DEBORAH AKEYO OYUGAH</t>
  </si>
  <si>
    <t>ROSE KERUBO</t>
  </si>
  <si>
    <t>CHRISTINE NTHENYA WAMBUA</t>
  </si>
  <si>
    <t>LIBAN ADANUR DAMBI</t>
  </si>
  <si>
    <t>KUEL WOL RING</t>
  </si>
  <si>
    <t>SAMUEL  ONYANGO APUDO</t>
  </si>
  <si>
    <t>PATRICK WAWERU</t>
  </si>
  <si>
    <t>MARY MUGURE</t>
  </si>
  <si>
    <t>TIRUS OTIENO GOR</t>
  </si>
  <si>
    <t>DR. NISHA RAMCHADANI</t>
  </si>
  <si>
    <t>DENNIS MOGAKA</t>
  </si>
  <si>
    <t>RICHARD MALI MUKWA</t>
  </si>
  <si>
    <t>DR OTIENO SPINAL INJURY</t>
  </si>
  <si>
    <t>LEAH WAMBUI</t>
  </si>
  <si>
    <t>DR. KIMOTHO JOSEPH</t>
  </si>
  <si>
    <t>AHMED NOOR SHEIKH</t>
  </si>
  <si>
    <t>ANNAH NJOKI NGANGA</t>
  </si>
  <si>
    <t>MRI Carotid MRA</t>
  </si>
  <si>
    <t>ALFRED ONDITI APELA</t>
  </si>
  <si>
    <t>METROPOLITANT HOSPITAL.FARAJ</t>
  </si>
  <si>
    <t>JAMES ODHIAMBO OKUMU</t>
  </si>
  <si>
    <t xml:space="preserve">HIFU </t>
  </si>
  <si>
    <t>JAQUELINE NYAMOITA OMBATI</t>
  </si>
  <si>
    <t>CAROLINE WANJIKU</t>
  </si>
  <si>
    <t>DR. KARARI EMMA</t>
  </si>
  <si>
    <t>AGNES NDUTA  KABUI</t>
  </si>
  <si>
    <t>PCEA KIKUYU HOSPITAL</t>
  </si>
  <si>
    <t>ABRAHAM NJUGUNA KABURI</t>
  </si>
  <si>
    <t>DR MUTUNGI KMA</t>
  </si>
  <si>
    <t>SIMON  MULINDU MWANGANGI</t>
  </si>
  <si>
    <t>DR. NTHAMBI KATUNDA</t>
  </si>
  <si>
    <t>SAMUEL NJOROGE MUHARI</t>
  </si>
  <si>
    <t>JAMES OJWANG ONYANGO</t>
  </si>
  <si>
    <t>BETHWEL NYAHE WOKABI</t>
  </si>
  <si>
    <t>BILLIAH ONGOMA</t>
  </si>
  <si>
    <t>WAIRIMU MWANGI</t>
  </si>
  <si>
    <t>NAIMA MOHAMMED</t>
  </si>
  <si>
    <t>DR WALACE KNH</t>
  </si>
  <si>
    <t>REGINA NJERI WACHIRA</t>
  </si>
  <si>
    <t>DR MARANGA ORORA</t>
  </si>
  <si>
    <t>ESTHER MUTHONI RUTERE</t>
  </si>
  <si>
    <t>KQ PRIDE CLINIC DR AMANYA</t>
  </si>
  <si>
    <t>JOSEPH MUCHIRI NJAURE</t>
  </si>
  <si>
    <t>DR SIMEON MOSOMI MONDA</t>
  </si>
  <si>
    <t>TABITHA MORAA MAKANA</t>
  </si>
  <si>
    <t>KQ PRIDE CLINIC DR JACKSON OTIENO</t>
  </si>
  <si>
    <t>MOSES JEGUGU KAINA</t>
  </si>
  <si>
    <t>WENDY MUTHONI WANJIKU</t>
  </si>
  <si>
    <t>HAMDI JIBRIL ALI</t>
  </si>
  <si>
    <t>JOSPHINE NDUNGE SILA</t>
  </si>
  <si>
    <t>JAMES MWANGI</t>
  </si>
  <si>
    <t>ABUK MAYEN AGIEM</t>
  </si>
  <si>
    <t>DR. BOSIRE</t>
  </si>
  <si>
    <t>ALVIN MITHIKA MWENDA</t>
  </si>
  <si>
    <t>KENYATTA NATIONAL HOSPITAL (KNH) MOGARE</t>
  </si>
  <si>
    <t>RAHAB WANJUGU LEKTARI</t>
  </si>
  <si>
    <t>JAMES KINYANJUI GICHIMU</t>
  </si>
  <si>
    <t>Ultrasound Carotid Doppler</t>
  </si>
  <si>
    <t>AMAL JAMAL</t>
  </si>
  <si>
    <t>MARY WANYERI</t>
  </si>
  <si>
    <t>ESTHER MWIKALI MUTHOKA</t>
  </si>
  <si>
    <t>Visipaque 320gms</t>
  </si>
  <si>
    <t>ASHA TARABI JAMA</t>
  </si>
  <si>
    <t>TERESA HOPE MAJALE</t>
  </si>
  <si>
    <t>LEAH WANGARI WACHIRA</t>
  </si>
  <si>
    <t>ZIPPORAH NELIMA WAFULA</t>
  </si>
  <si>
    <t>DR MELONG TALENG</t>
  </si>
  <si>
    <t>DR LUCY KASYOKA MUSSOLIN</t>
  </si>
  <si>
    <t>AVERY INGUTIA</t>
  </si>
  <si>
    <t>JOSHUA OKINDO MOKUA</t>
  </si>
  <si>
    <t>MVUTU BERNADETTE</t>
  </si>
  <si>
    <t>PAUL NYAUCHO MOGWASI</t>
  </si>
  <si>
    <t>ALFRED KIRUBI</t>
  </si>
  <si>
    <t>ISMAIL ALI NOOR</t>
  </si>
  <si>
    <t>ONGESO NATALTIE METROCARE</t>
  </si>
  <si>
    <t>PATRICIA NDUKU KASINGIU</t>
  </si>
  <si>
    <t>DR. ONYANGO AYO</t>
  </si>
  <si>
    <t>FLORENCE NYOKABI KIAI</t>
  </si>
  <si>
    <t>DR. OWINGA SAMUEL</t>
  </si>
  <si>
    <t>JAMES GITARI KABII</t>
  </si>
  <si>
    <t>NAIROBI HOSPITAL DR.OKONGO</t>
  </si>
  <si>
    <t>BEATRICE NZANGI KITATI</t>
  </si>
  <si>
    <t>DANIEL MUMBA MWAGANDI</t>
  </si>
  <si>
    <t>ZEINAB ABDULLAHI MOHAMED</t>
  </si>
  <si>
    <t>NORMAN GATUGUTA KIMANI</t>
  </si>
  <si>
    <t>DR AHMED ALI YOUSEF</t>
  </si>
  <si>
    <t>MOHAMED ABDI MOHAMUD</t>
  </si>
  <si>
    <t>JOHN KARINGU</t>
  </si>
  <si>
    <t>JILLO KATELO MOLU</t>
  </si>
  <si>
    <t>FIDELIS MAHENDE WANGANYI</t>
  </si>
  <si>
    <t>ESTHER NJUGUNA NYAWIRA</t>
  </si>
  <si>
    <t>RUTH NJERI WARIGO</t>
  </si>
  <si>
    <t>IVY CHLOE WANGARI</t>
  </si>
  <si>
    <t>TITUS GITAU</t>
  </si>
  <si>
    <t>DR RISHAD A.S</t>
  </si>
  <si>
    <t>MAUREEN SHIHAFU</t>
  </si>
  <si>
    <t>MONICA WANGU KIMANI</t>
  </si>
  <si>
    <t>DR OWEN ASTER HEALTH CARE</t>
  </si>
  <si>
    <t>CATHERINE MUNGAI KANANI</t>
  </si>
  <si>
    <t>DR. BARGORIA VICTOR</t>
  </si>
  <si>
    <t>EDWIN CHERUIYOT</t>
  </si>
  <si>
    <t>RISPER WANGARI NJAGI</t>
  </si>
  <si>
    <t>DR ZAHRA</t>
  </si>
  <si>
    <t>PHYLLIS WANJIRU MBUGUA</t>
  </si>
  <si>
    <t>JOYCE WAKONYO MWANGI</t>
  </si>
  <si>
    <t>COLLINS ALUGA</t>
  </si>
  <si>
    <t>AGNES MUTHONI KARANJA</t>
  </si>
  <si>
    <t>SAADIA SHEIKH</t>
  </si>
  <si>
    <t>FAITH MURAYA</t>
  </si>
  <si>
    <t>MWAI, BEATRICE NJERI</t>
  </si>
  <si>
    <t>MTIBA - ICEA Lions Group</t>
  </si>
  <si>
    <t>RICHARD KIPLANGAT TUEI</t>
  </si>
  <si>
    <t>DUNCAN KAMAU</t>
  </si>
  <si>
    <t>LIORA MUTHEU</t>
  </si>
  <si>
    <t>MERCYLINE NYANCHAMA</t>
  </si>
  <si>
    <t>JENIFFER WANGARI</t>
  </si>
  <si>
    <t>BELLA OYANGO</t>
  </si>
  <si>
    <t>WAYNE OCHAKO NCHORE</t>
  </si>
  <si>
    <t>ANTHONY NJAU NGIGI</t>
  </si>
  <si>
    <t>JACKLINE MORAA SWANYA</t>
  </si>
  <si>
    <t>OMBOTTO, CECIL ODONGO</t>
  </si>
  <si>
    <t>DR. MIANO PAUL METROPOLITANT</t>
  </si>
  <si>
    <t>PACK MWANDA</t>
  </si>
  <si>
    <t>EVA WANJIRU</t>
  </si>
  <si>
    <t xml:space="preserve">HIFU  DR. MUGAMBI </t>
  </si>
  <si>
    <t>MUTHONI KINYUA</t>
  </si>
  <si>
    <t>DR MOHAMED</t>
  </si>
  <si>
    <t>ADAN DIIS ALI</t>
  </si>
  <si>
    <t>DR.NGUGI NJUGUNA ENT GREENSPAN</t>
  </si>
  <si>
    <t>HASIA ABDULLAHI ADEN</t>
  </si>
  <si>
    <t>MITCHELLE WANGARI</t>
  </si>
  <si>
    <t>DAVID ONYANGO OTIENO</t>
  </si>
  <si>
    <t>PETER WAINAINA</t>
  </si>
  <si>
    <t>PAUL ASIDI</t>
  </si>
  <si>
    <t>ROBERT MUTONYI</t>
  </si>
  <si>
    <t>GRACE ATIENO OGANGA</t>
  </si>
  <si>
    <t>FABIAN GITAU MATHERI</t>
  </si>
  <si>
    <t>HARRIET KINANI STEPHEN</t>
  </si>
  <si>
    <t>HARRIET KINANU</t>
  </si>
  <si>
    <t>ERICK IRERI</t>
  </si>
  <si>
    <t>MRI Elbow</t>
  </si>
  <si>
    <t>DR  BISHAR ALI</t>
  </si>
  <si>
    <t>HIDAYO  MOHAMUD MOHAMED</t>
  </si>
  <si>
    <t>LILLIAN NKUENE KUNGANIA</t>
  </si>
  <si>
    <t>ELIZABETH NJOKI NGURURU</t>
  </si>
  <si>
    <t>DR. KARIUKI ALI</t>
  </si>
  <si>
    <t>JOSEPH GITUNGI NJOKI</t>
  </si>
  <si>
    <t>DR WAFULA J MASIKA</t>
  </si>
  <si>
    <t>HUSSEIN ALI</t>
  </si>
  <si>
    <t>DAVID NJUGUNA MUTHEE</t>
  </si>
  <si>
    <t>HAMDI BOTAN</t>
  </si>
  <si>
    <t>MERCY MUTHONI NDUNGU</t>
  </si>
  <si>
    <t>ANASTAZIA MBITHE</t>
  </si>
  <si>
    <t>JACKSON KATHURIMA GIKUNDA</t>
  </si>
  <si>
    <t>TERESIAH MUTHONI MWAURA</t>
  </si>
  <si>
    <t>DR. OMORO</t>
  </si>
  <si>
    <t>FRED KUBOKA</t>
  </si>
  <si>
    <t>PATRICIA KANINI MUMO</t>
  </si>
  <si>
    <t>MUCHIRI SYLVIA NJOKI</t>
  </si>
  <si>
    <t>DORCAS WAITHERA NJOROGE</t>
  </si>
  <si>
    <t>HOTHAN NOOR HASSAN</t>
  </si>
  <si>
    <t>EVERLYNE ACHIENG OMEMO</t>
  </si>
  <si>
    <t>ELIZABETH OKINYI</t>
  </si>
  <si>
    <t>DR. MWANGI FRANCIS</t>
  </si>
  <si>
    <t>JACQUELINE LODENYI LUGUSA</t>
  </si>
  <si>
    <t>SIMON KILONZO MUTISYA</t>
  </si>
  <si>
    <t>DORCAS MARTHA NZAU</t>
  </si>
  <si>
    <t>DR. WAFULA MASIKA J</t>
  </si>
  <si>
    <t>SUSAN NDWIGA NYAWIRA</t>
  </si>
  <si>
    <t>SOPHIA KEMUNTO ARAKA</t>
  </si>
  <si>
    <t>JULIANA MUENI</t>
  </si>
  <si>
    <t>JANE WAMBURA KABACHA</t>
  </si>
  <si>
    <t>BERNADETTE MUKHONGO</t>
  </si>
  <si>
    <t>JULIUS MWAURA KAMAU</t>
  </si>
  <si>
    <t>RUTH KIRIMI ITONGA</t>
  </si>
  <si>
    <t>JAPHETH OKOTH</t>
  </si>
  <si>
    <t>AAR HEALTHCARE - CITY CENTRE</t>
  </si>
  <si>
    <t>CANDY NYABOKE OTUNDO</t>
  </si>
  <si>
    <t>DR. KAMBUNI</t>
  </si>
  <si>
    <t>ABUBAKAR HASSAN FARAH</t>
  </si>
  <si>
    <t>ISIAH MBOGO NJOKA</t>
  </si>
  <si>
    <t>DALTON KASOA</t>
  </si>
  <si>
    <t>KENDRICK AMOS BWIRE</t>
  </si>
  <si>
    <t>Lydia Wangui Kiragu</t>
  </si>
  <si>
    <t>ANN WANGECHI MURAGE</t>
  </si>
  <si>
    <t>MARION CHEPKEMOI BII</t>
  </si>
  <si>
    <t>JAPHETHA IMBWANA</t>
  </si>
  <si>
    <t>SACOIYO ALI ABDI</t>
  </si>
  <si>
    <t>ESTHER KEMUNTO MARERI</t>
  </si>
  <si>
    <t>JOHNSTON MUNYENDO</t>
  </si>
  <si>
    <t>JANE AKINYI MIRERI</t>
  </si>
  <si>
    <t>ORELUWA ALI</t>
  </si>
  <si>
    <t>DR HELLEN</t>
  </si>
  <si>
    <t>ABDULAHI NOOR ADEN</t>
  </si>
  <si>
    <t>MRI Brain &amp; Temporal Bones</t>
  </si>
  <si>
    <t>ZAWERIA MUTHONI</t>
  </si>
  <si>
    <t>SHEMSEDIN SIRAJ</t>
  </si>
  <si>
    <t>AISHA MUKTAR HUSSEIN</t>
  </si>
  <si>
    <t>EUNICE ADHIAMBO NJEGA</t>
  </si>
  <si>
    <t>PRISCAH NJOKI</t>
  </si>
  <si>
    <t>ANNRITA KAWIRA MWEBIA</t>
  </si>
  <si>
    <t>KEMRI-CRDR CRA</t>
  </si>
  <si>
    <t>PID 430-B</t>
  </si>
  <si>
    <t>PID 431-B</t>
  </si>
  <si>
    <t>PID-02 B</t>
  </si>
  <si>
    <t>MAGDALINE WAMBUI</t>
  </si>
  <si>
    <t>CHRISTOPHER IRIKUFE</t>
  </si>
  <si>
    <t>CO. ERICK MARIA IMMACULATE</t>
  </si>
  <si>
    <t>SR JULIA KUNGU</t>
  </si>
  <si>
    <t>Maria Immaculate</t>
  </si>
  <si>
    <t>DR KUNGU SWAMINARAYAN</t>
  </si>
  <si>
    <t>AGNES OMARI</t>
  </si>
  <si>
    <t>DR. LANGAT EVA3RD PARK HOSPITAL</t>
  </si>
  <si>
    <t>TARAN BERTHELSEN</t>
  </si>
  <si>
    <t>C.T Scan Shoulder</t>
  </si>
  <si>
    <t>DR.WERE</t>
  </si>
  <si>
    <t>VICTOR ZIMBULU</t>
  </si>
  <si>
    <t>CT Scan Brain</t>
  </si>
  <si>
    <t>MARGARET ACHIENG OCHIENG</t>
  </si>
  <si>
    <t>DR SUMEYA MBAGATHI</t>
  </si>
  <si>
    <t>FRASIA NDUTA KIENDE</t>
  </si>
  <si>
    <t>DR MUGAMBI HIFU</t>
  </si>
  <si>
    <t>MARTHA NANGA NDINYA</t>
  </si>
  <si>
    <t>EDWARD APOLLO OSIWO</t>
  </si>
  <si>
    <t xml:space="preserve">GRACE </t>
  </si>
  <si>
    <t>MARGARET OCHIENG</t>
  </si>
  <si>
    <t>SHARLEEN WANGARI KARIUKI</t>
  </si>
  <si>
    <t>DR BUTO</t>
  </si>
  <si>
    <t>JACKLINE NYAKERARIO ATONI</t>
  </si>
  <si>
    <t>CLAUDIA NJOKI</t>
  </si>
  <si>
    <t>FLISHIA WAMBUI</t>
  </si>
  <si>
    <t>AAR  KIAMBU ROAD</t>
  </si>
  <si>
    <t>JANE KARIRI MUKULA</t>
  </si>
  <si>
    <t>JACOB KIBILI</t>
  </si>
  <si>
    <t>PRISCILLA NYANDIA NJIRAINI</t>
  </si>
  <si>
    <t>LAWRENCE WANDATI KABUE</t>
  </si>
  <si>
    <t>DR MERCY MULIRA PRIDE CLINIC KQ</t>
  </si>
  <si>
    <t>REVOCHART WANYIKA</t>
  </si>
  <si>
    <t>DR. ABDIQAUI NRB WOMENS HOSPITAL</t>
  </si>
  <si>
    <t>KELENZIE MDURI MDURI</t>
  </si>
  <si>
    <t>IAN JOHN ODIWOUR</t>
  </si>
  <si>
    <t>ABDULKADIR ABDIRASHID</t>
  </si>
  <si>
    <t>DR. MOTANYE AAR EMBAKASI</t>
  </si>
  <si>
    <t>CATHERINE NJAMBI MUNGAI</t>
  </si>
  <si>
    <t>NOAH SSABAGWIRA NSUBUGA</t>
  </si>
  <si>
    <t>DR AMUNGA AAR EMBAKASI</t>
  </si>
  <si>
    <t>JANET MWENDE MUSYOKA</t>
  </si>
  <si>
    <t>FAIZA FARAH</t>
  </si>
  <si>
    <t>CAROLINE MULONGO</t>
  </si>
  <si>
    <t>MARGARET MORAA NGANGA</t>
  </si>
  <si>
    <t>ALBERT SIKO TIMU</t>
  </si>
  <si>
    <t>RAPHAEL KAMAU NGETHE</t>
  </si>
  <si>
    <t>ABDI RAHMAN HUSSEIN</t>
  </si>
  <si>
    <t>SAMSON WEKESA</t>
  </si>
  <si>
    <t>LOICE NJERI KAMAU</t>
  </si>
  <si>
    <t>WINNIE MURIMI</t>
  </si>
  <si>
    <t>MAJDOLINE SALOW</t>
  </si>
  <si>
    <t>winnie murimi</t>
  </si>
  <si>
    <t>MAUREEN NJERI MUIKIRIA</t>
  </si>
  <si>
    <t>AGATHA MUTHONI NGANGA</t>
  </si>
  <si>
    <t>DR. MUCHIRA JANE</t>
  </si>
  <si>
    <t>JUMA, ZAKIA NJERI</t>
  </si>
  <si>
    <t>ghanima bakari</t>
  </si>
  <si>
    <t>NANCY MAKENA</t>
  </si>
  <si>
    <t>SUMAYA SIRIT ALI YUSUF</t>
  </si>
  <si>
    <t>DR. SIGILAI</t>
  </si>
  <si>
    <t>MARY NYAMBURA RUTH</t>
  </si>
  <si>
    <t>JACKSON NYORO MUTHONI</t>
  </si>
  <si>
    <t>BEATRICE WANJIKU MUSILA</t>
  </si>
  <si>
    <t>JULIE MUMBI</t>
  </si>
  <si>
    <t>JOY NZISA MAUNDU</t>
  </si>
  <si>
    <t>COLLINS OUMA</t>
  </si>
  <si>
    <t>DR MWANGI NJERI NRB HOSPITAL</t>
  </si>
  <si>
    <t>NDEGWA KAGIRI KAGEO</t>
  </si>
  <si>
    <t>DUNCAN OGUK</t>
  </si>
  <si>
    <t>JULIUS KIMUNDUU</t>
  </si>
  <si>
    <t>VERONICA GIKONYO</t>
  </si>
  <si>
    <t>DR. PETER WANYOIKE BSR</t>
  </si>
  <si>
    <t>GRACE WANGUI KARIUKI</t>
  </si>
  <si>
    <t>ISSACK ZEINAB MUHAMED</t>
  </si>
  <si>
    <t>CHARITY MAKENA</t>
  </si>
  <si>
    <t>DESRY OYAMO</t>
  </si>
  <si>
    <t>YANNICK ROCK GOAREAU</t>
  </si>
  <si>
    <t>SHUKRI ABDIRAHMAN WARSAME</t>
  </si>
  <si>
    <t>DR DAVID OLUOCH OLUNYA</t>
  </si>
  <si>
    <t>FATUMA MOHAMOUD OSMAN</t>
  </si>
  <si>
    <t>GERALDINE LEONAH OUMA</t>
  </si>
  <si>
    <t>FRIDAH OMUOYO KEMBUCHE</t>
  </si>
  <si>
    <t xml:space="preserve">DR MWANGI NRB ENT </t>
  </si>
  <si>
    <t>FELISTER MWENDE KOMU</t>
  </si>
  <si>
    <t>LENNOX MWALEA</t>
  </si>
  <si>
    <t>ZACH HAWI ATIENDE</t>
  </si>
  <si>
    <t>PHOEBE BLISS</t>
  </si>
  <si>
    <t>FAITH ABIGAEL</t>
  </si>
  <si>
    <t>KOBIE KAMINJA</t>
  </si>
  <si>
    <t>DR. ONGULO</t>
  </si>
  <si>
    <t>ADELYNN WANGUI</t>
  </si>
  <si>
    <t>BEATRICE NYAMBURA MAIN</t>
  </si>
  <si>
    <t>HAREDHA MALLOW OMAR</t>
  </si>
  <si>
    <t>LILIAN GOGO</t>
  </si>
  <si>
    <t>HUSNA  NDUTA NJENGA</t>
  </si>
  <si>
    <t>KEVIN NJOROGE KARUGU</t>
  </si>
  <si>
    <t>LORNA NYAMBURA MAINA</t>
  </si>
  <si>
    <t>RACHEAL NDUSYA MUENDI</t>
  </si>
  <si>
    <t>EDITE CHEPKORIR YATOR</t>
  </si>
  <si>
    <t>ZAHRA HUSSEIN HASSAN</t>
  </si>
  <si>
    <t>ANN NDUNGE</t>
  </si>
  <si>
    <t>SHUAIB SALIM</t>
  </si>
  <si>
    <t>Simon Eric Mitema</t>
  </si>
  <si>
    <t>GLADYS AWUOR OTIENO</t>
  </si>
  <si>
    <t>JOYCE NYAWIRA KIMANI</t>
  </si>
  <si>
    <t>MARGARET MURURI MACHAKI</t>
  </si>
  <si>
    <t>UPENDO MUTHOME</t>
  </si>
  <si>
    <t>APRIL WK4</t>
  </si>
  <si>
    <t>DATE</t>
  </si>
  <si>
    <t>NBI1090598</t>
  </si>
  <si>
    <t>JACINTA OGOLLA</t>
  </si>
  <si>
    <t>DR NISHA</t>
  </si>
  <si>
    <t>NBI1090568</t>
  </si>
  <si>
    <t>WASHINGTON WABWIRE</t>
  </si>
  <si>
    <t>DR NGUMUTA</t>
  </si>
  <si>
    <t>NBI1090588</t>
  </si>
  <si>
    <t>ANNE ACHIENG OLWAL</t>
  </si>
  <si>
    <t>NBI1090575</t>
  </si>
  <si>
    <t>TITUS SHIKOKOTI SHUNZA</t>
  </si>
  <si>
    <t>NBI1090561</t>
  </si>
  <si>
    <t>BRIAN MUTHAMA MUGENDI</t>
  </si>
  <si>
    <t>NBI1090567</t>
  </si>
  <si>
    <t>FRANKLIN MWANGI MBOKE</t>
  </si>
  <si>
    <t>NBI1090564</t>
  </si>
  <si>
    <t>ENG. JAMES NJOROGE MWANGI</t>
  </si>
  <si>
    <t>DR. OKOLA KNH</t>
  </si>
  <si>
    <t>NBI1090563</t>
  </si>
  <si>
    <t>LYDIA WANJIKU NJUGUNA</t>
  </si>
  <si>
    <t>NBI1090572</t>
  </si>
  <si>
    <t>SARAH ACHIENG MATSESHE</t>
  </si>
  <si>
    <t>NBI1090580</t>
  </si>
  <si>
    <t>BRIAN BARRACK ACHANDO</t>
  </si>
  <si>
    <t>DR MANGE MWENDA</t>
  </si>
  <si>
    <t>NBI1090585</t>
  </si>
  <si>
    <t>LAMECK OKINDO ONGECHI</t>
  </si>
  <si>
    <t>NBI1090582</t>
  </si>
  <si>
    <t>PATRICIA KWAMBOKA OCHENGE</t>
  </si>
  <si>
    <t>NBI1090583</t>
  </si>
  <si>
    <t>NBI1090573</t>
  </si>
  <si>
    <t>ANGELA WAIRIMU KAMAU</t>
  </si>
  <si>
    <t>NBI1090574</t>
  </si>
  <si>
    <t>DR. LUTUKAYI</t>
  </si>
  <si>
    <t>NBI1090562</t>
  </si>
  <si>
    <t>EDNA CLAIRE NJEROI MWANGI</t>
  </si>
  <si>
    <t>NBI1090565</t>
  </si>
  <si>
    <t>HILDAH NAMUSI LENGARPATEI</t>
  </si>
  <si>
    <t>NBI1090587</t>
  </si>
  <si>
    <t>TRACY WANJIRU</t>
  </si>
  <si>
    <t>NBI1090591</t>
  </si>
  <si>
    <t>JOEL KAMAU NDUNGU</t>
  </si>
  <si>
    <t>NBI1090589</t>
  </si>
  <si>
    <t>IRENE MUTHEU KIOKO</t>
  </si>
  <si>
    <t>NBI1090592</t>
  </si>
  <si>
    <t>NYAGUTHII KINYUA</t>
  </si>
  <si>
    <t>NBI1090570</t>
  </si>
  <si>
    <t>GLADYS MBITHE KILONZI</t>
  </si>
  <si>
    <t>NBI1090566</t>
  </si>
  <si>
    <t>KIBURU CELINE</t>
  </si>
  <si>
    <t>NBI1090593</t>
  </si>
  <si>
    <t>BEARTRICE WANJERI GATHII</t>
  </si>
  <si>
    <t>NBI1090599</t>
  </si>
  <si>
    <t>PASCALINE  JEPKOSGEI</t>
  </si>
  <si>
    <t>Ultrasound Prostate (Incl TRUS)</t>
  </si>
  <si>
    <t>NBI1090571</t>
  </si>
  <si>
    <t>JANET MWINZA KIMONDO</t>
  </si>
  <si>
    <t>DR. KHAMALA WAFULA</t>
  </si>
  <si>
    <t>NBI1090586</t>
  </si>
  <si>
    <t>KELVIN SIMIYU MURAY</t>
  </si>
  <si>
    <t>NBI1090577</t>
  </si>
  <si>
    <t>MWAJUMA HUSSEIN</t>
  </si>
  <si>
    <t>NBI1090584</t>
  </si>
  <si>
    <t>PHOEBE MWANGI</t>
  </si>
  <si>
    <t>NBI1090576</t>
  </si>
  <si>
    <t>CATHERINE MUTONYI IDEWA</t>
  </si>
  <si>
    <t>DR OLUGA</t>
  </si>
  <si>
    <t>NBI1090579</t>
  </si>
  <si>
    <t>ALFRED KENGERE OBUNGA</t>
  </si>
  <si>
    <t>NBI1090569</t>
  </si>
  <si>
    <t>DR. AHMED</t>
  </si>
  <si>
    <t>NBI1090578</t>
  </si>
  <si>
    <t>KHADIJA ADOW</t>
  </si>
  <si>
    <t>NBI1090594</t>
  </si>
  <si>
    <t>SHANEL KWAMBOKE</t>
  </si>
  <si>
    <t>NBI1090597</t>
  </si>
  <si>
    <t>SORORO WARIO</t>
  </si>
  <si>
    <t>NBI1090581</t>
  </si>
  <si>
    <t>EZEKIEL OKEYO NYAGARA</t>
  </si>
  <si>
    <t>NBI1090596</t>
  </si>
  <si>
    <t>DAVID MURUTHI MUCHEMI</t>
  </si>
  <si>
    <t>NBI1090590</t>
  </si>
  <si>
    <t>kavata muli</t>
  </si>
  <si>
    <t>NBI1090595</t>
  </si>
  <si>
    <t>MARTIN KIPLIMO</t>
  </si>
  <si>
    <t>EVA WANJIRU NJOKI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</si>
</sst>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F0"/>
      <name val="Calibri"/>
      <family val="2"/>
      <charset val="1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5" tint="-0.249977111117893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00B05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0"/>
      <color theme="5" tint="-0.249977111117893"/>
      <name val="Calibri"/>
      <family val="2"/>
      <scheme val="minor"/>
    </font>
    <font>
      <sz val="11"/>
      <color theme="5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9" fontId="0" fillId="0" borderId="0" xfId="2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43" fontId="4" fillId="0" borderId="0" xfId="1" applyFont="1"/>
    <xf numFmtId="43" fontId="4" fillId="0" borderId="0" xfId="0" applyNumberFormat="1" applyFont="1"/>
    <xf numFmtId="9" fontId="4" fillId="0" borderId="0" xfId="2" applyFont="1"/>
    <xf numFmtId="0" fontId="5" fillId="0" borderId="0" xfId="0" applyFont="1"/>
    <xf numFmtId="0" fontId="6" fillId="0" borderId="0" xfId="0" applyFont="1"/>
    <xf numFmtId="43" fontId="5" fillId="0" borderId="0" xfId="1" applyFont="1"/>
    <xf numFmtId="0" fontId="7" fillId="0" borderId="0" xfId="0" applyFont="1"/>
    <xf numFmtId="43" fontId="7" fillId="0" borderId="0" xfId="1" applyFont="1"/>
    <xf numFmtId="43" fontId="7" fillId="0" borderId="0" xfId="0" applyNumberFormat="1" applyFont="1"/>
    <xf numFmtId="9" fontId="7" fillId="0" borderId="0" xfId="2" applyFont="1"/>
    <xf numFmtId="43" fontId="0" fillId="0" borderId="0" xfId="1" applyFont="1"/>
    <xf numFmtId="43" fontId="8" fillId="0" borderId="1" xfId="1" applyFont="1" applyBorder="1"/>
    <xf numFmtId="0" fontId="9" fillId="0" borderId="0" xfId="0" applyFont="1"/>
    <xf numFmtId="43" fontId="9" fillId="0" borderId="0" xfId="1" applyFont="1"/>
    <xf numFmtId="43" fontId="9" fillId="0" borderId="0" xfId="0" applyNumberFormat="1" applyFont="1"/>
    <xf numFmtId="43" fontId="6" fillId="0" borderId="0" xfId="1" applyFont="1"/>
    <xf numFmtId="0" fontId="10" fillId="0" borderId="0" xfId="0" applyFont="1"/>
    <xf numFmtId="0" fontId="11" fillId="0" borderId="0" xfId="0" applyFont="1"/>
    <xf numFmtId="43" fontId="11" fillId="0" borderId="0" xfId="1" applyFont="1"/>
    <xf numFmtId="0" fontId="12" fillId="0" borderId="0" xfId="0" applyFont="1"/>
    <xf numFmtId="43" fontId="12" fillId="0" borderId="0" xfId="1" applyFont="1"/>
    <xf numFmtId="4" fontId="9" fillId="0" borderId="0" xfId="0" applyNumberFormat="1" applyFont="1"/>
    <xf numFmtId="9" fontId="9" fillId="0" borderId="0" xfId="2" applyFont="1"/>
    <xf numFmtId="4" fontId="6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4" fontId="12" fillId="0" borderId="0" xfId="0" applyNumberFormat="1" applyFont="1"/>
    <xf numFmtId="4" fontId="2" fillId="0" borderId="0" xfId="0" applyNumberFormat="1" applyFont="1"/>
    <xf numFmtId="43" fontId="2" fillId="0" borderId="0" xfId="0" applyNumberFormat="1" applyFont="1"/>
    <xf numFmtId="9" fontId="2" fillId="0" borderId="0" xfId="2" applyFont="1"/>
    <xf numFmtId="0" fontId="13" fillId="0" borderId="0" xfId="0" applyFont="1"/>
    <xf numFmtId="4" fontId="13" fillId="0" borderId="0" xfId="0" applyNumberFormat="1" applyFont="1"/>
    <xf numFmtId="9" fontId="13" fillId="0" borderId="0" xfId="2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11" fillId="0" borderId="0" xfId="0" quotePrefix="1" applyFont="1"/>
    <xf numFmtId="0" fontId="0" fillId="0" borderId="0" xfId="0" applyFont="1"/>
    <xf numFmtId="9" fontId="11" fillId="0" borderId="0" xfId="2" applyFont="1"/>
    <xf numFmtId="0" fontId="8" fillId="0" borderId="0" xfId="0" applyFont="1" applyAlignment="1">
      <alignment horizontal="center"/>
    </xf>
    <xf numFmtId="4" fontId="8" fillId="0" borderId="1" xfId="0" applyNumberFormat="1" applyFont="1" applyBorder="1"/>
    <xf numFmtId="4" fontId="0" fillId="0" borderId="0" xfId="0" applyNumberFormat="1" applyFont="1"/>
    <xf numFmtId="0" fontId="14" fillId="0" borderId="0" xfId="0" applyFont="1"/>
    <xf numFmtId="4" fontId="14" fillId="0" borderId="0" xfId="0" applyNumberFormat="1" applyFont="1"/>
    <xf numFmtId="43" fontId="2" fillId="0" borderId="0" xfId="1" applyFont="1"/>
    <xf numFmtId="9" fontId="6" fillId="0" borderId="0" xfId="2" applyFont="1"/>
    <xf numFmtId="164" fontId="8" fillId="0" borderId="1" xfId="0" applyNumberFormat="1" applyFont="1" applyBorder="1"/>
    <xf numFmtId="0" fontId="15" fillId="0" borderId="0" xfId="0" applyFont="1"/>
    <xf numFmtId="14" fontId="9" fillId="0" borderId="0" xfId="0" applyNumberFormat="1" applyFont="1"/>
    <xf numFmtId="0" fontId="16" fillId="0" borderId="0" xfId="0" applyFont="1" applyBorder="1"/>
    <xf numFmtId="4" fontId="16" fillId="0" borderId="0" xfId="0" applyNumberFormat="1" applyFont="1" applyBorder="1"/>
    <xf numFmtId="0" fontId="16" fillId="0" borderId="0" xfId="0" applyFont="1" applyFill="1" applyBorder="1"/>
    <xf numFmtId="0" fontId="5" fillId="0" borderId="0" xfId="0" applyFont="1" applyBorder="1"/>
    <xf numFmtId="4" fontId="5" fillId="0" borderId="0" xfId="0" applyNumberFormat="1" applyFont="1" applyBorder="1"/>
    <xf numFmtId="0" fontId="5" fillId="0" borderId="0" xfId="0" applyFont="1" applyFill="1" applyBorder="1"/>
    <xf numFmtId="0" fontId="7" fillId="0" borderId="0" xfId="0" applyFont="1" applyFill="1" applyBorder="1"/>
    <xf numFmtId="0" fontId="7" fillId="0" borderId="0" xfId="0" applyFont="1" applyBorder="1"/>
    <xf numFmtId="4" fontId="7" fillId="0" borderId="0" xfId="0" applyNumberFormat="1" applyFont="1" applyBorder="1"/>
    <xf numFmtId="0" fontId="1" fillId="0" borderId="0" xfId="0" applyFont="1" applyBorder="1"/>
    <xf numFmtId="4" fontId="1" fillId="0" borderId="0" xfId="0" applyNumberFormat="1" applyFont="1" applyBorder="1"/>
    <xf numFmtId="14" fontId="0" fillId="0" borderId="0" xfId="0" applyNumberFormat="1"/>
    <xf numFmtId="14" fontId="0" fillId="2" borderId="0" xfId="0" applyNumberFormat="1" applyFill="1"/>
    <xf numFmtId="0" fontId="5" fillId="2" borderId="0" xfId="0" applyFont="1" applyFill="1" applyBorder="1"/>
    <xf numFmtId="4" fontId="5" fillId="2" borderId="0" xfId="0" applyNumberFormat="1" applyFont="1" applyFill="1" applyBorder="1"/>
    <xf numFmtId="0" fontId="0" fillId="2" borderId="0" xfId="0" applyFill="1"/>
    <xf numFmtId="14" fontId="9" fillId="2" borderId="0" xfId="0" applyNumberFormat="1" applyFont="1" applyFill="1"/>
    <xf numFmtId="0" fontId="6" fillId="2" borderId="0" xfId="0" applyFont="1" applyFill="1"/>
    <xf numFmtId="4" fontId="6" fillId="2" borderId="0" xfId="0" applyNumberFormat="1" applyFont="1" applyFill="1"/>
    <xf numFmtId="0" fontId="0" fillId="3" borderId="0" xfId="0" applyFill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ydia/OneDrive/Desktop/LYDIAS/COMISSION/NAIROBI%20COMMISSION%20FILE%20FOR%20%20MARC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ydia/OneDrive/Desktop/LYDIAS/COMISSION/NAIROBI%20COMMISSION%20FILE%20APRI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ND MARCH"/>
      <sheetName val="3RD MARCH"/>
      <sheetName val="4TH"/>
      <sheetName val="5TH"/>
      <sheetName val="6TH"/>
      <sheetName val="7TH"/>
      <sheetName val="9TH"/>
      <sheetName val="10TH"/>
      <sheetName val="11TH"/>
      <sheetName val="12TH"/>
      <sheetName val="13TH"/>
      <sheetName val="14TH"/>
      <sheetName val="16TH"/>
      <sheetName val="17TH"/>
      <sheetName val="18TH"/>
      <sheetName val="19TH"/>
      <sheetName val="20TH"/>
      <sheetName val="21ST"/>
      <sheetName val="23RD"/>
      <sheetName val="24TH"/>
      <sheetName val="25TH"/>
      <sheetName val="PROF OYOO FEBRUARY 2026"/>
      <sheetName val="26TH"/>
      <sheetName val="27TH"/>
      <sheetName val="28TH"/>
      <sheetName val="30TH"/>
      <sheetName val="31ST"/>
      <sheetName val="1ST APRIL"/>
      <sheetName val="2ND APRIL"/>
      <sheetName val="3RD AP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5">
          <cell r="K95">
            <v>1066800</v>
          </cell>
        </row>
      </sheetData>
      <sheetData sheetId="13">
        <row r="90">
          <cell r="K90">
            <v>998200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3">
          <cell r="F103">
            <v>60500</v>
          </cell>
          <cell r="K103">
            <v>1041300</v>
          </cell>
        </row>
      </sheetData>
      <sheetData sheetId="26">
        <row r="114">
          <cell r="F114">
            <v>79200</v>
          </cell>
          <cell r="K114">
            <v>1193500</v>
          </cell>
        </row>
      </sheetData>
      <sheetData sheetId="27">
        <row r="105">
          <cell r="F105">
            <v>67700</v>
          </cell>
          <cell r="K105">
            <v>913100</v>
          </cell>
        </row>
      </sheetData>
      <sheetData sheetId="28">
        <row r="73">
          <cell r="F73">
            <v>58300</v>
          </cell>
          <cell r="K73">
            <v>761600</v>
          </cell>
        </row>
      </sheetData>
      <sheetData sheetId="29">
        <row r="26">
          <cell r="F26">
            <v>28400</v>
          </cell>
          <cell r="K26">
            <v>304800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T"/>
      <sheetName val="2ND"/>
      <sheetName val="3RD"/>
      <sheetName val="4TH"/>
      <sheetName val="6TH"/>
      <sheetName val="7TH"/>
      <sheetName val="8TH"/>
      <sheetName val="9TH"/>
      <sheetName val="10TH"/>
      <sheetName val="11TH"/>
      <sheetName val="13TH"/>
      <sheetName val="14TH"/>
      <sheetName val="15TH"/>
      <sheetName val="16TH"/>
      <sheetName val="17TH"/>
      <sheetName val="18TH"/>
      <sheetName val="20TH"/>
      <sheetName val="21ST"/>
      <sheetName val="22ND"/>
      <sheetName val="23RD"/>
      <sheetName val="24TH"/>
      <sheetName val="25TH"/>
    </sheetNames>
    <sheetDataSet>
      <sheetData sheetId="0" refreshError="1"/>
      <sheetData sheetId="1" refreshError="1"/>
      <sheetData sheetId="2" refreshError="1"/>
      <sheetData sheetId="3">
        <row r="33">
          <cell r="K33">
            <v>440100</v>
          </cell>
        </row>
      </sheetData>
      <sheetData sheetId="4">
        <row r="19">
          <cell r="K19">
            <v>212000</v>
          </cell>
        </row>
      </sheetData>
      <sheetData sheetId="5">
        <row r="114">
          <cell r="K114">
            <v>997700</v>
          </cell>
        </row>
      </sheetData>
      <sheetData sheetId="6">
        <row r="150">
          <cell r="K150">
            <v>1389700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04">
          <cell r="K104">
            <v>1077980</v>
          </cell>
        </row>
      </sheetData>
      <sheetData sheetId="17">
        <row r="86">
          <cell r="K86">
            <v>921420</v>
          </cell>
        </row>
      </sheetData>
      <sheetData sheetId="18">
        <row r="105">
          <cell r="K105">
            <v>1080700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23" workbookViewId="0">
      <selection activeCell="H30" sqref="H30"/>
    </sheetView>
  </sheetViews>
  <sheetFormatPr defaultRowHeight="14.4" x14ac:dyDescent="0.3"/>
  <cols>
    <col min="2" max="2" width="25.21875" customWidth="1"/>
    <col min="3" max="3" width="10.44140625" customWidth="1"/>
    <col min="4" max="4" width="27.44140625" customWidth="1"/>
    <col min="5" max="5" width="19.44140625" customWidth="1"/>
    <col min="6" max="6" width="28.33203125" customWidth="1"/>
    <col min="7" max="7" width="11" style="16" bestFit="1" customWidth="1"/>
    <col min="8" max="8" width="11.5546875" bestFit="1" customWidth="1"/>
  </cols>
  <sheetData>
    <row r="1" spans="1:13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3" s="5" customFormat="1" x14ac:dyDescent="0.3">
      <c r="A2" s="5" t="s">
        <v>11</v>
      </c>
      <c r="B2" s="5" t="s">
        <v>24</v>
      </c>
      <c r="C2" s="5">
        <v>1089069</v>
      </c>
      <c r="D2" s="5" t="s">
        <v>25</v>
      </c>
      <c r="E2" s="5" t="s">
        <v>26</v>
      </c>
      <c r="F2" s="5" t="s">
        <v>27</v>
      </c>
      <c r="G2" s="6">
        <v>12000</v>
      </c>
    </row>
    <row r="3" spans="1:13" s="5" customFormat="1" x14ac:dyDescent="0.3">
      <c r="A3" s="5" t="s">
        <v>11</v>
      </c>
      <c r="B3" s="5" t="s">
        <v>28</v>
      </c>
      <c r="C3" s="5">
        <v>1089028</v>
      </c>
      <c r="D3" s="5" t="s">
        <v>30</v>
      </c>
      <c r="E3" s="5" t="s">
        <v>26</v>
      </c>
      <c r="F3" s="5" t="s">
        <v>31</v>
      </c>
      <c r="G3" s="6">
        <v>7500</v>
      </c>
    </row>
    <row r="4" spans="1:13" s="5" customFormat="1" x14ac:dyDescent="0.3">
      <c r="A4" s="5" t="s">
        <v>11</v>
      </c>
      <c r="B4" s="5" t="s">
        <v>32</v>
      </c>
      <c r="C4" s="5">
        <v>1089034</v>
      </c>
      <c r="D4" s="5" t="s">
        <v>33</v>
      </c>
      <c r="E4" s="5" t="s">
        <v>34</v>
      </c>
      <c r="F4" s="5" t="s">
        <v>35</v>
      </c>
      <c r="G4" s="6">
        <v>18000</v>
      </c>
    </row>
    <row r="5" spans="1:13" s="5" customFormat="1" x14ac:dyDescent="0.3">
      <c r="A5" s="5" t="s">
        <v>11</v>
      </c>
      <c r="B5" s="5" t="s">
        <v>36</v>
      </c>
      <c r="C5" s="5">
        <v>1089075</v>
      </c>
      <c r="D5" s="5" t="s">
        <v>37</v>
      </c>
      <c r="E5" s="5" t="s">
        <v>38</v>
      </c>
      <c r="F5" s="5" t="s">
        <v>39</v>
      </c>
      <c r="G5" s="6">
        <v>21100</v>
      </c>
    </row>
    <row r="6" spans="1:13" s="5" customFormat="1" x14ac:dyDescent="0.3">
      <c r="A6" s="5" t="s">
        <v>11</v>
      </c>
      <c r="B6" s="5" t="s">
        <v>40</v>
      </c>
      <c r="C6" s="5">
        <v>1089043</v>
      </c>
      <c r="D6" s="5" t="s">
        <v>41</v>
      </c>
      <c r="E6" s="5" t="s">
        <v>26</v>
      </c>
      <c r="F6" s="5" t="s">
        <v>39</v>
      </c>
      <c r="G6" s="6">
        <v>20000</v>
      </c>
    </row>
    <row r="7" spans="1:13" s="5" customFormat="1" x14ac:dyDescent="0.3">
      <c r="A7" s="5" t="s">
        <v>11</v>
      </c>
      <c r="B7" s="5" t="s">
        <v>42</v>
      </c>
      <c r="C7" s="5">
        <v>1089021</v>
      </c>
      <c r="D7" s="5" t="s">
        <v>43</v>
      </c>
      <c r="E7" s="5" t="s">
        <v>44</v>
      </c>
      <c r="F7" s="5" t="s">
        <v>45</v>
      </c>
      <c r="G7" s="6">
        <v>25000</v>
      </c>
      <c r="H7" s="7">
        <f>SUM(G2:G7)</f>
        <v>103600</v>
      </c>
      <c r="I7" s="5" t="e">
        <f>SUM(#REF!)</f>
        <v>#REF!</v>
      </c>
      <c r="J7" s="8" t="e">
        <f>I7/H7</f>
        <v>#REF!</v>
      </c>
    </row>
    <row r="8" spans="1:13" s="12" customFormat="1" x14ac:dyDescent="0.3">
      <c r="A8" s="9" t="s">
        <v>0</v>
      </c>
      <c r="B8" s="9" t="s">
        <v>46</v>
      </c>
      <c r="C8" s="9">
        <v>1089026</v>
      </c>
      <c r="D8" s="9" t="s">
        <v>47</v>
      </c>
      <c r="E8" s="9" t="s">
        <v>26</v>
      </c>
      <c r="F8" s="9" t="s">
        <v>48</v>
      </c>
      <c r="G8" s="11">
        <v>2500</v>
      </c>
      <c r="H8" s="9"/>
      <c r="I8" s="9"/>
      <c r="J8" s="9"/>
      <c r="K8" s="9"/>
      <c r="L8" s="9"/>
      <c r="M8" s="9"/>
    </row>
    <row r="9" spans="1:13" s="9" customFormat="1" x14ac:dyDescent="0.3">
      <c r="A9" s="9" t="s">
        <v>0</v>
      </c>
      <c r="B9" s="9" t="s">
        <v>49</v>
      </c>
      <c r="C9" s="9">
        <v>1089081</v>
      </c>
      <c r="D9" s="9" t="s">
        <v>50</v>
      </c>
      <c r="E9" s="9" t="s">
        <v>26</v>
      </c>
      <c r="F9" s="9" t="s">
        <v>51</v>
      </c>
      <c r="G9" s="11">
        <v>15000</v>
      </c>
    </row>
    <row r="10" spans="1:13" s="9" customFormat="1" x14ac:dyDescent="0.3">
      <c r="A10" s="9" t="s">
        <v>0</v>
      </c>
      <c r="B10" s="9" t="s">
        <v>52</v>
      </c>
      <c r="C10" s="9">
        <v>1089073</v>
      </c>
      <c r="D10" s="9" t="s">
        <v>53</v>
      </c>
      <c r="E10" s="9" t="s">
        <v>34</v>
      </c>
      <c r="F10" s="9" t="s">
        <v>54</v>
      </c>
      <c r="G10" s="11">
        <v>12000</v>
      </c>
    </row>
    <row r="11" spans="1:13" s="9" customFormat="1" x14ac:dyDescent="0.3">
      <c r="A11" s="9" t="s">
        <v>0</v>
      </c>
      <c r="B11" s="9" t="s">
        <v>55</v>
      </c>
      <c r="C11" s="9">
        <v>1089019</v>
      </c>
      <c r="D11" s="9" t="s">
        <v>56</v>
      </c>
      <c r="E11" s="9" t="s">
        <v>57</v>
      </c>
      <c r="F11" s="9" t="s">
        <v>54</v>
      </c>
      <c r="G11" s="11">
        <v>11700</v>
      </c>
    </row>
    <row r="12" spans="1:13" s="9" customFormat="1" x14ac:dyDescent="0.3">
      <c r="A12" s="9" t="s">
        <v>0</v>
      </c>
      <c r="B12" s="9" t="s">
        <v>55</v>
      </c>
      <c r="C12" s="9">
        <v>1089020</v>
      </c>
      <c r="D12" s="9" t="s">
        <v>56</v>
      </c>
      <c r="E12" s="9" t="s">
        <v>26</v>
      </c>
      <c r="F12" s="9" t="s">
        <v>54</v>
      </c>
      <c r="G12" s="11">
        <v>300</v>
      </c>
    </row>
    <row r="13" spans="1:13" s="9" customFormat="1" x14ac:dyDescent="0.3">
      <c r="A13" s="9" t="s">
        <v>0</v>
      </c>
      <c r="B13" s="9" t="s">
        <v>58</v>
      </c>
      <c r="C13" s="9">
        <v>1089088</v>
      </c>
      <c r="D13" s="9" t="s">
        <v>59</v>
      </c>
      <c r="E13" s="9" t="s">
        <v>60</v>
      </c>
      <c r="F13" s="9" t="s">
        <v>61</v>
      </c>
      <c r="G13" s="11">
        <v>15000</v>
      </c>
    </row>
    <row r="14" spans="1:13" s="9" customFormat="1" x14ac:dyDescent="0.3">
      <c r="A14" s="9" t="s">
        <v>0</v>
      </c>
      <c r="B14" s="9" t="s">
        <v>62</v>
      </c>
      <c r="C14" s="9">
        <v>1089079</v>
      </c>
      <c r="D14" s="9" t="s">
        <v>63</v>
      </c>
      <c r="E14" s="9" t="s">
        <v>64</v>
      </c>
      <c r="F14" s="9" t="s">
        <v>65</v>
      </c>
      <c r="G14" s="11">
        <v>8000</v>
      </c>
    </row>
    <row r="15" spans="1:13" s="9" customFormat="1" x14ac:dyDescent="0.3">
      <c r="A15" s="9" t="s">
        <v>0</v>
      </c>
      <c r="B15" s="9" t="s">
        <v>66</v>
      </c>
      <c r="C15" s="9">
        <v>1089067</v>
      </c>
      <c r="D15" s="9" t="s">
        <v>67</v>
      </c>
      <c r="E15" s="9" t="s">
        <v>26</v>
      </c>
      <c r="F15" s="9" t="s">
        <v>68</v>
      </c>
      <c r="G15" s="11">
        <v>14000</v>
      </c>
    </row>
    <row r="16" spans="1:13" s="9" customFormat="1" x14ac:dyDescent="0.3">
      <c r="A16" s="9" t="s">
        <v>0</v>
      </c>
      <c r="B16" s="9" t="s">
        <v>69</v>
      </c>
      <c r="C16" s="9">
        <v>1089080</v>
      </c>
      <c r="D16" s="9" t="s">
        <v>70</v>
      </c>
      <c r="E16" s="9" t="s">
        <v>26</v>
      </c>
      <c r="F16" s="9" t="s">
        <v>71</v>
      </c>
      <c r="G16" s="11">
        <v>6500</v>
      </c>
    </row>
    <row r="17" spans="1:7" s="9" customFormat="1" x14ac:dyDescent="0.3">
      <c r="A17" s="9" t="s">
        <v>0</v>
      </c>
      <c r="B17" s="9" t="s">
        <v>72</v>
      </c>
      <c r="C17" s="9">
        <v>1089035</v>
      </c>
      <c r="D17" s="9" t="s">
        <v>73</v>
      </c>
      <c r="E17" s="9" t="s">
        <v>26</v>
      </c>
      <c r="F17" s="9" t="s">
        <v>74</v>
      </c>
      <c r="G17" s="11">
        <v>20000</v>
      </c>
    </row>
    <row r="18" spans="1:7" s="9" customFormat="1" x14ac:dyDescent="0.3">
      <c r="A18" s="9" t="s">
        <v>0</v>
      </c>
      <c r="B18" s="9" t="s">
        <v>75</v>
      </c>
      <c r="C18" s="9">
        <v>1089054</v>
      </c>
      <c r="D18" s="9" t="s">
        <v>76</v>
      </c>
      <c r="E18" s="9" t="s">
        <v>26</v>
      </c>
      <c r="F18" s="9" t="s">
        <v>74</v>
      </c>
      <c r="G18" s="11">
        <v>3000</v>
      </c>
    </row>
    <row r="19" spans="1:7" s="9" customFormat="1" x14ac:dyDescent="0.3">
      <c r="A19" s="9" t="s">
        <v>0</v>
      </c>
      <c r="B19" s="9" t="s">
        <v>77</v>
      </c>
      <c r="C19" s="9">
        <v>1089060</v>
      </c>
      <c r="D19" s="9" t="s">
        <v>78</v>
      </c>
      <c r="E19" s="9" t="s">
        <v>79</v>
      </c>
      <c r="F19" s="9" t="s">
        <v>74</v>
      </c>
      <c r="G19" s="11">
        <v>22000</v>
      </c>
    </row>
    <row r="20" spans="1:7" s="9" customFormat="1" x14ac:dyDescent="0.3">
      <c r="A20" s="9" t="s">
        <v>0</v>
      </c>
      <c r="B20" s="9" t="s">
        <v>80</v>
      </c>
      <c r="C20" s="9">
        <v>1089049</v>
      </c>
      <c r="D20" s="9" t="s">
        <v>81</v>
      </c>
      <c r="E20" s="9" t="s">
        <v>26</v>
      </c>
      <c r="F20" s="9" t="s">
        <v>39</v>
      </c>
      <c r="G20" s="11">
        <v>20000</v>
      </c>
    </row>
    <row r="21" spans="1:7" s="9" customFormat="1" x14ac:dyDescent="0.3">
      <c r="A21" s="9" t="s">
        <v>0</v>
      </c>
      <c r="B21" s="9" t="s">
        <v>82</v>
      </c>
      <c r="C21" s="9">
        <v>1089057</v>
      </c>
      <c r="D21" s="9" t="s">
        <v>83</v>
      </c>
      <c r="E21" s="9" t="s">
        <v>26</v>
      </c>
      <c r="F21" s="9" t="s">
        <v>84</v>
      </c>
      <c r="G21" s="11">
        <v>20000</v>
      </c>
    </row>
    <row r="22" spans="1:7" s="9" customFormat="1" x14ac:dyDescent="0.3">
      <c r="A22" s="9" t="s">
        <v>0</v>
      </c>
      <c r="B22" s="9" t="s">
        <v>85</v>
      </c>
      <c r="C22" s="9">
        <v>1089066</v>
      </c>
      <c r="D22" s="9" t="s">
        <v>86</v>
      </c>
      <c r="E22" s="9" t="s">
        <v>87</v>
      </c>
      <c r="F22" s="9" t="s">
        <v>84</v>
      </c>
      <c r="G22" s="11">
        <v>18000</v>
      </c>
    </row>
    <row r="23" spans="1:7" s="9" customFormat="1" x14ac:dyDescent="0.3">
      <c r="A23" s="9" t="s">
        <v>0</v>
      </c>
      <c r="B23" s="9" t="s">
        <v>88</v>
      </c>
      <c r="C23" s="9">
        <v>1089085</v>
      </c>
      <c r="D23" s="9" t="s">
        <v>89</v>
      </c>
      <c r="E23" s="9" t="s">
        <v>26</v>
      </c>
      <c r="F23" s="9" t="s">
        <v>84</v>
      </c>
      <c r="G23" s="11">
        <v>20000</v>
      </c>
    </row>
    <row r="24" spans="1:7" s="9" customFormat="1" x14ac:dyDescent="0.3">
      <c r="A24" s="9" t="s">
        <v>0</v>
      </c>
      <c r="B24" s="9" t="s">
        <v>90</v>
      </c>
      <c r="C24" s="9">
        <v>1089082</v>
      </c>
      <c r="D24" s="9" t="s">
        <v>91</v>
      </c>
      <c r="E24" s="9" t="s">
        <v>26</v>
      </c>
      <c r="F24" s="9" t="s">
        <v>92</v>
      </c>
      <c r="G24" s="11">
        <v>28000</v>
      </c>
    </row>
    <row r="25" spans="1:7" s="9" customFormat="1" x14ac:dyDescent="0.3">
      <c r="A25" s="9" t="s">
        <v>0</v>
      </c>
      <c r="B25" s="9" t="s">
        <v>93</v>
      </c>
      <c r="C25" s="9">
        <v>1089027</v>
      </c>
      <c r="D25" s="9" t="s">
        <v>94</v>
      </c>
      <c r="E25" s="9" t="s">
        <v>34</v>
      </c>
      <c r="F25" s="9" t="s">
        <v>95</v>
      </c>
      <c r="G25" s="11">
        <v>23000</v>
      </c>
    </row>
    <row r="26" spans="1:7" s="9" customFormat="1" x14ac:dyDescent="0.3">
      <c r="A26" s="9" t="s">
        <v>0</v>
      </c>
      <c r="B26" s="9" t="s">
        <v>96</v>
      </c>
      <c r="C26" s="9">
        <v>1089051</v>
      </c>
      <c r="D26" s="9" t="s">
        <v>97</v>
      </c>
      <c r="E26" s="9" t="s">
        <v>26</v>
      </c>
      <c r="F26" s="9" t="s">
        <v>98</v>
      </c>
      <c r="G26" s="11">
        <v>26000</v>
      </c>
    </row>
    <row r="27" spans="1:7" s="9" customFormat="1" x14ac:dyDescent="0.3">
      <c r="A27" s="9" t="s">
        <v>0</v>
      </c>
      <c r="B27" s="9" t="s">
        <v>99</v>
      </c>
      <c r="C27" s="9">
        <v>1089044</v>
      </c>
      <c r="D27" s="9" t="s">
        <v>100</v>
      </c>
      <c r="E27" s="9" t="s">
        <v>26</v>
      </c>
      <c r="F27" s="9" t="s">
        <v>101</v>
      </c>
      <c r="G27" s="11">
        <v>40000</v>
      </c>
    </row>
    <row r="28" spans="1:7" s="9" customFormat="1" x14ac:dyDescent="0.3">
      <c r="A28" s="9" t="s">
        <v>0</v>
      </c>
      <c r="B28" s="9" t="s">
        <v>102</v>
      </c>
      <c r="C28" s="9">
        <v>1089070</v>
      </c>
      <c r="D28" s="9" t="s">
        <v>103</v>
      </c>
      <c r="E28" s="9" t="s">
        <v>34</v>
      </c>
      <c r="F28" s="9" t="s">
        <v>104</v>
      </c>
      <c r="G28" s="11">
        <v>4000</v>
      </c>
    </row>
    <row r="29" spans="1:7" s="9" customFormat="1" x14ac:dyDescent="0.3">
      <c r="A29" s="9" t="s">
        <v>0</v>
      </c>
      <c r="B29" s="9" t="s">
        <v>105</v>
      </c>
      <c r="C29" s="9">
        <v>1089058</v>
      </c>
      <c r="D29" s="9" t="s">
        <v>107</v>
      </c>
      <c r="E29" s="9" t="s">
        <v>26</v>
      </c>
      <c r="F29" s="9" t="s">
        <v>104</v>
      </c>
      <c r="G29" s="11">
        <v>3000</v>
      </c>
    </row>
    <row r="30" spans="1:7" s="9" customFormat="1" x14ac:dyDescent="0.3">
      <c r="A30" s="9" t="s">
        <v>0</v>
      </c>
      <c r="B30" s="9" t="s">
        <v>108</v>
      </c>
      <c r="C30" s="9">
        <v>1089023</v>
      </c>
      <c r="D30" s="9" t="s">
        <v>109</v>
      </c>
      <c r="E30" s="9" t="s">
        <v>26</v>
      </c>
      <c r="F30" s="9" t="s">
        <v>110</v>
      </c>
      <c r="G30" s="11">
        <v>6000</v>
      </c>
    </row>
    <row r="31" spans="1:7" s="9" customFormat="1" x14ac:dyDescent="0.3">
      <c r="A31" s="9" t="s">
        <v>0</v>
      </c>
      <c r="B31" s="9" t="s">
        <v>46</v>
      </c>
      <c r="C31" s="9">
        <v>1089026</v>
      </c>
      <c r="D31" s="9" t="s">
        <v>47</v>
      </c>
      <c r="E31" s="9" t="s">
        <v>26</v>
      </c>
      <c r="F31" s="9" t="s">
        <v>110</v>
      </c>
      <c r="G31" s="11">
        <v>6000</v>
      </c>
    </row>
    <row r="32" spans="1:7" s="9" customFormat="1" x14ac:dyDescent="0.3">
      <c r="A32" s="9" t="s">
        <v>0</v>
      </c>
      <c r="B32" s="9" t="s">
        <v>111</v>
      </c>
      <c r="C32" s="9">
        <v>1089045</v>
      </c>
      <c r="D32" s="9" t="s">
        <v>112</v>
      </c>
      <c r="E32" s="9" t="s">
        <v>26</v>
      </c>
      <c r="F32" s="9" t="s">
        <v>113</v>
      </c>
      <c r="G32" s="11">
        <v>4000</v>
      </c>
    </row>
    <row r="33" spans="1:13" s="9" customFormat="1" x14ac:dyDescent="0.3">
      <c r="A33" s="9" t="s">
        <v>0</v>
      </c>
      <c r="B33" s="9" t="s">
        <v>114</v>
      </c>
      <c r="C33" s="9">
        <v>1089052</v>
      </c>
      <c r="D33" s="9" t="s">
        <v>115</v>
      </c>
      <c r="E33" s="9" t="s">
        <v>26</v>
      </c>
      <c r="F33" s="9" t="s">
        <v>116</v>
      </c>
      <c r="G33" s="11">
        <v>5000</v>
      </c>
    </row>
    <row r="34" spans="1:13" s="9" customFormat="1" x14ac:dyDescent="0.3">
      <c r="A34" s="9" t="s">
        <v>0</v>
      </c>
      <c r="B34" s="9" t="s">
        <v>117</v>
      </c>
      <c r="C34" s="9">
        <v>1089031</v>
      </c>
      <c r="D34" s="9" t="s">
        <v>118</v>
      </c>
      <c r="E34" s="9" t="s">
        <v>26</v>
      </c>
      <c r="F34" s="9" t="s">
        <v>119</v>
      </c>
      <c r="G34" s="11">
        <v>3000</v>
      </c>
    </row>
    <row r="35" spans="1:13" s="9" customFormat="1" x14ac:dyDescent="0.3">
      <c r="A35" s="9" t="s">
        <v>0</v>
      </c>
      <c r="B35" s="9" t="s">
        <v>120</v>
      </c>
      <c r="C35" s="9">
        <v>1089030</v>
      </c>
      <c r="D35" s="9" t="s">
        <v>121</v>
      </c>
      <c r="E35" s="9" t="s">
        <v>26</v>
      </c>
      <c r="F35" s="9" t="s">
        <v>119</v>
      </c>
      <c r="G35" s="11">
        <v>3000</v>
      </c>
    </row>
    <row r="36" spans="1:13" s="9" customFormat="1" x14ac:dyDescent="0.3">
      <c r="A36" s="9" t="s">
        <v>0</v>
      </c>
      <c r="B36" s="9" t="s">
        <v>122</v>
      </c>
      <c r="C36" s="9">
        <v>1089046</v>
      </c>
      <c r="D36" s="9" t="s">
        <v>123</v>
      </c>
      <c r="E36" s="9" t="s">
        <v>26</v>
      </c>
      <c r="F36" s="9" t="s">
        <v>124</v>
      </c>
      <c r="G36" s="11">
        <v>3000</v>
      </c>
    </row>
    <row r="37" spans="1:13" s="9" customFormat="1" x14ac:dyDescent="0.3">
      <c r="A37" s="9" t="s">
        <v>0</v>
      </c>
      <c r="B37" s="9" t="s">
        <v>125</v>
      </c>
      <c r="C37" s="9">
        <v>1089039</v>
      </c>
      <c r="D37" s="9" t="s">
        <v>126</v>
      </c>
      <c r="E37" s="9" t="s">
        <v>26</v>
      </c>
      <c r="F37" s="9" t="s">
        <v>124</v>
      </c>
      <c r="G37" s="11">
        <v>3000</v>
      </c>
    </row>
    <row r="38" spans="1:13" s="9" customFormat="1" x14ac:dyDescent="0.3">
      <c r="A38" s="9" t="s">
        <v>0</v>
      </c>
      <c r="B38" s="9" t="s">
        <v>127</v>
      </c>
      <c r="C38" s="9">
        <v>1089103</v>
      </c>
      <c r="D38" s="9" t="s">
        <v>128</v>
      </c>
      <c r="E38" s="9" t="s">
        <v>60</v>
      </c>
      <c r="F38" s="9" t="s">
        <v>129</v>
      </c>
      <c r="G38" s="11">
        <v>3000</v>
      </c>
    </row>
    <row r="39" spans="1:13" s="9" customFormat="1" x14ac:dyDescent="0.3">
      <c r="A39" s="9" t="s">
        <v>0</v>
      </c>
      <c r="B39" s="9" t="s">
        <v>130</v>
      </c>
      <c r="C39" s="9">
        <v>1089076</v>
      </c>
      <c r="D39" s="9" t="s">
        <v>131</v>
      </c>
      <c r="E39" s="9" t="s">
        <v>26</v>
      </c>
      <c r="F39" s="9" t="s">
        <v>129</v>
      </c>
      <c r="G39" s="11">
        <v>3000</v>
      </c>
    </row>
    <row r="40" spans="1:13" s="9" customFormat="1" x14ac:dyDescent="0.3">
      <c r="A40" s="9" t="s">
        <v>0</v>
      </c>
      <c r="B40" s="9" t="s">
        <v>132</v>
      </c>
      <c r="C40" s="9">
        <v>1089029</v>
      </c>
      <c r="D40" s="9" t="s">
        <v>133</v>
      </c>
      <c r="E40" s="9" t="s">
        <v>26</v>
      </c>
      <c r="F40" s="9" t="s">
        <v>134</v>
      </c>
      <c r="G40" s="11">
        <v>4000</v>
      </c>
    </row>
    <row r="41" spans="1:13" s="9" customFormat="1" x14ac:dyDescent="0.3">
      <c r="A41" s="9" t="s">
        <v>0</v>
      </c>
      <c r="B41" s="9" t="s">
        <v>135</v>
      </c>
      <c r="C41" s="9">
        <v>1089071</v>
      </c>
      <c r="D41" s="9" t="s">
        <v>136</v>
      </c>
      <c r="E41" s="9" t="s">
        <v>26</v>
      </c>
      <c r="F41" s="9" t="s">
        <v>137</v>
      </c>
      <c r="G41" s="11">
        <v>6000</v>
      </c>
    </row>
    <row r="42" spans="1:13" s="9" customFormat="1" x14ac:dyDescent="0.3">
      <c r="A42" s="9" t="s">
        <v>0</v>
      </c>
      <c r="B42" s="9" t="s">
        <v>77</v>
      </c>
      <c r="C42" s="9">
        <v>1089065</v>
      </c>
      <c r="D42" s="9" t="s">
        <v>138</v>
      </c>
      <c r="E42" s="9" t="s">
        <v>26</v>
      </c>
      <c r="F42" s="9" t="s">
        <v>139</v>
      </c>
      <c r="G42" s="11">
        <v>8000</v>
      </c>
    </row>
    <row r="43" spans="1:13" s="12" customFormat="1" x14ac:dyDescent="0.3">
      <c r="A43" s="9" t="s">
        <v>0</v>
      </c>
      <c r="B43" s="9" t="s">
        <v>135</v>
      </c>
      <c r="C43" s="9">
        <v>1089087</v>
      </c>
      <c r="D43" s="9" t="s">
        <v>140</v>
      </c>
      <c r="E43" s="9" t="s">
        <v>26</v>
      </c>
      <c r="F43" s="9" t="s">
        <v>141</v>
      </c>
      <c r="G43" s="11">
        <v>5000</v>
      </c>
      <c r="H43" s="9"/>
      <c r="I43" s="9"/>
      <c r="J43" s="9"/>
      <c r="K43" s="9"/>
      <c r="L43" s="9"/>
      <c r="M43" s="9"/>
    </row>
    <row r="44" spans="1:13" s="9" customFormat="1" x14ac:dyDescent="0.3">
      <c r="A44" s="9" t="s">
        <v>0</v>
      </c>
      <c r="B44" s="9" t="s">
        <v>108</v>
      </c>
      <c r="C44" s="9">
        <v>1089023</v>
      </c>
      <c r="D44" s="9" t="s">
        <v>109</v>
      </c>
      <c r="E44" s="9" t="s">
        <v>26</v>
      </c>
      <c r="F44" s="9" t="s">
        <v>142</v>
      </c>
      <c r="G44" s="11">
        <v>2000</v>
      </c>
    </row>
    <row r="45" spans="1:13" s="12" customFormat="1" x14ac:dyDescent="0.3">
      <c r="A45" s="9" t="s">
        <v>0</v>
      </c>
      <c r="B45" s="9" t="s">
        <v>143</v>
      </c>
      <c r="C45" s="9">
        <v>1089074</v>
      </c>
      <c r="D45" s="9" t="s">
        <v>144</v>
      </c>
      <c r="E45" s="9" t="s">
        <v>26</v>
      </c>
      <c r="F45" s="9" t="s">
        <v>142</v>
      </c>
      <c r="G45" s="11">
        <v>2000</v>
      </c>
      <c r="H45" s="9"/>
      <c r="I45" s="9"/>
      <c r="J45" s="9"/>
      <c r="K45" s="9"/>
      <c r="L45" s="9"/>
      <c r="M45" s="9"/>
    </row>
    <row r="46" spans="1:13" s="12" customFormat="1" x14ac:dyDescent="0.3">
      <c r="A46" s="9" t="s">
        <v>0</v>
      </c>
      <c r="B46" s="9" t="s">
        <v>143</v>
      </c>
      <c r="C46" s="9">
        <v>1089048</v>
      </c>
      <c r="D46" s="9" t="s">
        <v>145</v>
      </c>
      <c r="E46" s="9" t="s">
        <v>26</v>
      </c>
      <c r="F46" s="9" t="s">
        <v>142</v>
      </c>
      <c r="G46" s="11">
        <v>2000</v>
      </c>
      <c r="H46" s="9"/>
      <c r="I46" s="9"/>
      <c r="J46" s="9"/>
      <c r="K46" s="9"/>
      <c r="L46" s="9"/>
      <c r="M46" s="9"/>
    </row>
    <row r="47" spans="1:13" s="12" customFormat="1" x14ac:dyDescent="0.3">
      <c r="A47" s="9" t="s">
        <v>0</v>
      </c>
      <c r="B47" s="9" t="s">
        <v>146</v>
      </c>
      <c r="C47" s="9">
        <v>1089041</v>
      </c>
      <c r="D47" s="9" t="s">
        <v>147</v>
      </c>
      <c r="E47" s="9" t="s">
        <v>26</v>
      </c>
      <c r="F47" s="9" t="s">
        <v>142</v>
      </c>
      <c r="G47" s="11">
        <v>2000</v>
      </c>
      <c r="H47" s="9"/>
      <c r="I47" s="9"/>
      <c r="J47" s="9"/>
      <c r="K47" s="9"/>
      <c r="L47" s="9"/>
      <c r="M47" s="9"/>
    </row>
    <row r="48" spans="1:13" s="12" customFormat="1" x14ac:dyDescent="0.3">
      <c r="A48" s="9" t="s">
        <v>0</v>
      </c>
      <c r="B48" s="9" t="s">
        <v>148</v>
      </c>
      <c r="C48" s="9">
        <v>1089037</v>
      </c>
      <c r="D48" s="9" t="s">
        <v>149</v>
      </c>
      <c r="E48" s="9" t="s">
        <v>26</v>
      </c>
      <c r="F48" s="9" t="s">
        <v>150</v>
      </c>
      <c r="G48" s="11">
        <v>2500</v>
      </c>
      <c r="H48" s="9"/>
      <c r="I48" s="9"/>
      <c r="J48" s="9"/>
      <c r="K48" s="9"/>
      <c r="L48" s="9"/>
      <c r="M48" s="9"/>
    </row>
    <row r="49" spans="1:13" s="12" customFormat="1" x14ac:dyDescent="0.3">
      <c r="A49" s="9" t="s">
        <v>0</v>
      </c>
      <c r="B49" s="9" t="s">
        <v>72</v>
      </c>
      <c r="C49" s="9">
        <v>1089053</v>
      </c>
      <c r="D49" s="9" t="s">
        <v>151</v>
      </c>
      <c r="E49" s="9" t="s">
        <v>26</v>
      </c>
      <c r="F49" s="9" t="s">
        <v>152</v>
      </c>
      <c r="G49" s="11">
        <v>4000</v>
      </c>
      <c r="H49" s="9"/>
      <c r="I49" s="9"/>
      <c r="J49" s="9"/>
      <c r="K49" s="9"/>
      <c r="L49" s="9"/>
      <c r="M49" s="9"/>
    </row>
    <row r="50" spans="1:13" s="12" customFormat="1" x14ac:dyDescent="0.3">
      <c r="A50" s="12" t="s">
        <v>9</v>
      </c>
      <c r="B50" s="12" t="s">
        <v>153</v>
      </c>
      <c r="C50" s="12">
        <v>1089061</v>
      </c>
      <c r="D50" s="12" t="s">
        <v>154</v>
      </c>
      <c r="E50" s="12" t="s">
        <v>26</v>
      </c>
      <c r="F50" s="12" t="s">
        <v>155</v>
      </c>
      <c r="G50" s="13">
        <v>10000</v>
      </c>
    </row>
    <row r="51" spans="1:13" x14ac:dyDescent="0.3">
      <c r="A51" s="12" t="s">
        <v>9</v>
      </c>
      <c r="B51" s="12" t="s">
        <v>156</v>
      </c>
      <c r="C51" s="12">
        <v>1089040</v>
      </c>
      <c r="D51" s="12" t="s">
        <v>157</v>
      </c>
      <c r="E51" s="12" t="s">
        <v>34</v>
      </c>
      <c r="F51" s="12" t="s">
        <v>27</v>
      </c>
      <c r="G51" s="13">
        <v>9000</v>
      </c>
      <c r="H51" s="12"/>
      <c r="I51" s="12"/>
      <c r="J51" s="12"/>
      <c r="K51" s="12"/>
      <c r="L51" s="12"/>
      <c r="M51" s="12"/>
    </row>
    <row r="52" spans="1:13" x14ac:dyDescent="0.3">
      <c r="A52" s="12" t="s">
        <v>9</v>
      </c>
      <c r="B52" s="12" t="s">
        <v>158</v>
      </c>
      <c r="C52" s="12">
        <v>1089077</v>
      </c>
      <c r="D52" s="12" t="s">
        <v>159</v>
      </c>
      <c r="E52" s="12" t="s">
        <v>160</v>
      </c>
      <c r="F52" s="12" t="s">
        <v>65</v>
      </c>
      <c r="G52" s="13">
        <v>8000</v>
      </c>
      <c r="H52" s="12"/>
      <c r="I52" s="12"/>
      <c r="J52" s="12"/>
      <c r="K52" s="12"/>
      <c r="L52" s="12"/>
      <c r="M52" s="12"/>
    </row>
    <row r="53" spans="1:13" x14ac:dyDescent="0.3">
      <c r="A53" s="12" t="s">
        <v>9</v>
      </c>
      <c r="B53" s="12" t="s">
        <v>153</v>
      </c>
      <c r="C53" s="12">
        <v>1089042</v>
      </c>
      <c r="D53" s="12" t="s">
        <v>161</v>
      </c>
      <c r="E53" s="12" t="s">
        <v>26</v>
      </c>
      <c r="F53" s="12" t="s">
        <v>74</v>
      </c>
      <c r="G53" s="13">
        <v>20000</v>
      </c>
      <c r="H53" s="12"/>
      <c r="I53" s="12"/>
      <c r="J53" s="12"/>
      <c r="K53" s="12"/>
      <c r="L53" s="12"/>
      <c r="M53" s="12"/>
    </row>
    <row r="54" spans="1:13" s="12" customFormat="1" x14ac:dyDescent="0.3">
      <c r="A54" s="12" t="s">
        <v>9</v>
      </c>
      <c r="B54" s="12" t="s">
        <v>162</v>
      </c>
      <c r="C54" s="12">
        <v>1089062</v>
      </c>
      <c r="D54" s="12" t="s">
        <v>163</v>
      </c>
      <c r="E54" s="12" t="s">
        <v>160</v>
      </c>
      <c r="F54" s="12" t="s">
        <v>39</v>
      </c>
      <c r="G54" s="13">
        <v>18000</v>
      </c>
    </row>
    <row r="55" spans="1:13" x14ac:dyDescent="0.3">
      <c r="A55" s="12" t="s">
        <v>9</v>
      </c>
      <c r="B55" s="12" t="s">
        <v>153</v>
      </c>
      <c r="C55" s="12">
        <v>1089042</v>
      </c>
      <c r="D55" s="12" t="s">
        <v>161</v>
      </c>
      <c r="E55" s="12" t="s">
        <v>26</v>
      </c>
      <c r="F55" s="12" t="s">
        <v>84</v>
      </c>
      <c r="G55" s="13">
        <v>20000</v>
      </c>
      <c r="H55" s="12"/>
      <c r="I55" s="12"/>
      <c r="J55" s="12"/>
      <c r="K55" s="12"/>
      <c r="L55" s="12"/>
      <c r="M55" s="12"/>
    </row>
    <row r="56" spans="1:13" x14ac:dyDescent="0.3">
      <c r="A56" s="12" t="s">
        <v>9</v>
      </c>
      <c r="B56" s="12" t="s">
        <v>164</v>
      </c>
      <c r="C56" s="12">
        <v>1089038</v>
      </c>
      <c r="D56" s="12" t="s">
        <v>165</v>
      </c>
      <c r="E56" s="12" t="s">
        <v>64</v>
      </c>
      <c r="F56" s="12" t="s">
        <v>84</v>
      </c>
      <c r="G56" s="13">
        <v>18000</v>
      </c>
      <c r="H56" s="12"/>
      <c r="I56" s="12"/>
      <c r="J56" s="12"/>
      <c r="K56" s="12"/>
      <c r="L56" s="12"/>
      <c r="M56" s="12"/>
    </row>
    <row r="57" spans="1:13" x14ac:dyDescent="0.3">
      <c r="A57" s="12" t="s">
        <v>9</v>
      </c>
      <c r="B57" s="12" t="s">
        <v>166</v>
      </c>
      <c r="C57" s="12">
        <v>1089072</v>
      </c>
      <c r="D57" s="12" t="s">
        <v>167</v>
      </c>
      <c r="E57" s="12" t="s">
        <v>60</v>
      </c>
      <c r="F57" s="12" t="s">
        <v>168</v>
      </c>
      <c r="G57" s="13">
        <v>18000</v>
      </c>
      <c r="H57" s="12"/>
      <c r="I57" s="12"/>
      <c r="J57" s="12"/>
      <c r="K57" s="12"/>
      <c r="L57" s="12"/>
      <c r="M57" s="12"/>
    </row>
    <row r="58" spans="1:13" x14ac:dyDescent="0.3">
      <c r="A58" s="12" t="s">
        <v>9</v>
      </c>
      <c r="B58" s="12" t="s">
        <v>169</v>
      </c>
      <c r="C58" s="12">
        <v>1089036</v>
      </c>
      <c r="D58" s="12" t="s">
        <v>170</v>
      </c>
      <c r="E58" s="12" t="s">
        <v>160</v>
      </c>
      <c r="F58" s="12" t="s">
        <v>110</v>
      </c>
      <c r="G58" s="13">
        <v>6000</v>
      </c>
      <c r="H58" s="12"/>
      <c r="I58" s="12"/>
      <c r="J58" s="12"/>
      <c r="K58" s="12"/>
      <c r="L58" s="12"/>
      <c r="M58" s="12"/>
    </row>
    <row r="59" spans="1:13" x14ac:dyDescent="0.3">
      <c r="A59" s="12" t="s">
        <v>9</v>
      </c>
      <c r="B59" s="12" t="s">
        <v>171</v>
      </c>
      <c r="C59" s="12">
        <v>1089063</v>
      </c>
      <c r="D59" s="12" t="s">
        <v>172</v>
      </c>
      <c r="E59" s="12" t="s">
        <v>26</v>
      </c>
      <c r="F59" s="12" t="s">
        <v>110</v>
      </c>
      <c r="G59" s="13">
        <v>6000</v>
      </c>
      <c r="H59" s="12"/>
      <c r="I59" s="12"/>
      <c r="J59" s="12"/>
      <c r="K59" s="12"/>
      <c r="L59" s="12"/>
      <c r="M59" s="12"/>
    </row>
    <row r="60" spans="1:13" x14ac:dyDescent="0.3">
      <c r="A60" s="12" t="s">
        <v>9</v>
      </c>
      <c r="B60" s="12" t="s">
        <v>171</v>
      </c>
      <c r="C60" s="12">
        <v>1089068</v>
      </c>
      <c r="D60" s="12" t="s">
        <v>173</v>
      </c>
      <c r="E60" s="12" t="s">
        <v>26</v>
      </c>
      <c r="F60" s="12" t="s">
        <v>110</v>
      </c>
      <c r="G60" s="13">
        <v>6000</v>
      </c>
      <c r="H60" s="12"/>
      <c r="I60" s="12"/>
      <c r="J60" s="12"/>
      <c r="K60" s="12"/>
      <c r="L60" s="12"/>
      <c r="M60" s="12"/>
    </row>
    <row r="61" spans="1:13" x14ac:dyDescent="0.3">
      <c r="A61" s="12" t="s">
        <v>9</v>
      </c>
      <c r="B61" s="12" t="s">
        <v>174</v>
      </c>
      <c r="C61" s="12">
        <v>1089047</v>
      </c>
      <c r="D61" s="12" t="s">
        <v>177</v>
      </c>
      <c r="E61" s="12" t="s">
        <v>26</v>
      </c>
      <c r="F61" s="12" t="s">
        <v>116</v>
      </c>
      <c r="G61" s="13">
        <v>5000</v>
      </c>
      <c r="H61" s="12"/>
      <c r="I61" s="12"/>
      <c r="J61" s="12"/>
      <c r="K61" s="12"/>
      <c r="L61" s="12"/>
      <c r="M61" s="12"/>
    </row>
    <row r="62" spans="1:13" x14ac:dyDescent="0.3">
      <c r="A62" s="12" t="s">
        <v>9</v>
      </c>
      <c r="B62" s="12" t="s">
        <v>178</v>
      </c>
      <c r="C62" s="12">
        <v>1089025</v>
      </c>
      <c r="D62" s="12" t="s">
        <v>179</v>
      </c>
      <c r="E62" s="12" t="s">
        <v>160</v>
      </c>
      <c r="F62" s="12" t="s">
        <v>124</v>
      </c>
      <c r="G62" s="13">
        <v>4000</v>
      </c>
      <c r="H62" s="12"/>
      <c r="I62" s="12"/>
      <c r="J62" s="12"/>
      <c r="K62" s="12"/>
      <c r="L62" s="12"/>
      <c r="M62" s="12"/>
    </row>
    <row r="63" spans="1:13" x14ac:dyDescent="0.3">
      <c r="A63" s="12" t="s">
        <v>9</v>
      </c>
      <c r="B63" s="12" t="s">
        <v>180</v>
      </c>
      <c r="C63" s="12">
        <v>1089056</v>
      </c>
      <c r="D63" s="12" t="s">
        <v>181</v>
      </c>
      <c r="E63" s="12" t="s">
        <v>26</v>
      </c>
      <c r="F63" s="12" t="s">
        <v>129</v>
      </c>
      <c r="G63" s="13">
        <v>3000</v>
      </c>
      <c r="H63" s="12"/>
      <c r="I63" s="12"/>
      <c r="J63" s="12"/>
      <c r="K63" s="12"/>
      <c r="L63" s="12"/>
      <c r="M63" s="12"/>
    </row>
    <row r="64" spans="1:13" x14ac:dyDescent="0.3">
      <c r="A64" s="12" t="s">
        <v>9</v>
      </c>
      <c r="B64" s="12" t="s">
        <v>182</v>
      </c>
      <c r="C64" s="12">
        <v>1089059</v>
      </c>
      <c r="D64" s="12" t="s">
        <v>183</v>
      </c>
      <c r="E64" s="12" t="s">
        <v>26</v>
      </c>
      <c r="F64" s="12" t="s">
        <v>184</v>
      </c>
      <c r="G64" s="13">
        <v>2500</v>
      </c>
      <c r="H64" s="14">
        <f>SUM(G50:G64)</f>
        <v>153500</v>
      </c>
      <c r="I64" s="12" t="e">
        <f>SUM(#REF!)</f>
        <v>#REF!</v>
      </c>
      <c r="J64" s="15" t="e">
        <f>I64/H64</f>
        <v>#REF!</v>
      </c>
      <c r="K64" s="12"/>
      <c r="L64" s="12"/>
      <c r="M64" s="12"/>
    </row>
    <row r="65" spans="1:7" x14ac:dyDescent="0.3">
      <c r="A65" t="s">
        <v>185</v>
      </c>
      <c r="B65" t="s">
        <v>186</v>
      </c>
      <c r="C65">
        <v>1089024</v>
      </c>
      <c r="D65" t="s">
        <v>187</v>
      </c>
      <c r="E65" t="s">
        <v>26</v>
      </c>
      <c r="F65" t="s">
        <v>188</v>
      </c>
      <c r="G65" s="16">
        <v>12000</v>
      </c>
    </row>
    <row r="66" spans="1:7" x14ac:dyDescent="0.3">
      <c r="A66" t="s">
        <v>185</v>
      </c>
      <c r="B66" t="s">
        <v>189</v>
      </c>
      <c r="C66">
        <v>1089092</v>
      </c>
      <c r="D66" t="s">
        <v>190</v>
      </c>
      <c r="E66" t="s">
        <v>26</v>
      </c>
      <c r="F66" t="s">
        <v>74</v>
      </c>
      <c r="G66" s="16">
        <v>20000</v>
      </c>
    </row>
    <row r="67" spans="1:7" x14ac:dyDescent="0.3">
      <c r="A67" t="s">
        <v>185</v>
      </c>
      <c r="B67" t="s">
        <v>186</v>
      </c>
      <c r="C67">
        <v>1089064</v>
      </c>
      <c r="D67" t="s">
        <v>191</v>
      </c>
      <c r="E67" t="s">
        <v>44</v>
      </c>
      <c r="F67" t="s">
        <v>92</v>
      </c>
      <c r="G67" s="16">
        <v>42000</v>
      </c>
    </row>
    <row r="68" spans="1:7" x14ac:dyDescent="0.3">
      <c r="A68" t="s">
        <v>185</v>
      </c>
      <c r="B68" t="s">
        <v>192</v>
      </c>
      <c r="C68">
        <v>1089091</v>
      </c>
      <c r="D68" t="s">
        <v>193</v>
      </c>
      <c r="E68" t="s">
        <v>160</v>
      </c>
      <c r="F68" t="s">
        <v>45</v>
      </c>
      <c r="G68" s="16">
        <v>20000</v>
      </c>
    </row>
    <row r="69" spans="1:7" x14ac:dyDescent="0.3">
      <c r="A69" t="s">
        <v>185</v>
      </c>
      <c r="B69" t="s">
        <v>186</v>
      </c>
      <c r="C69">
        <v>1089078</v>
      </c>
      <c r="D69" t="s">
        <v>194</v>
      </c>
      <c r="E69" t="s">
        <v>26</v>
      </c>
      <c r="F69" t="s">
        <v>195</v>
      </c>
      <c r="G69" s="16">
        <v>20000</v>
      </c>
    </row>
    <row r="70" spans="1:7" x14ac:dyDescent="0.3">
      <c r="A70" t="s">
        <v>185</v>
      </c>
      <c r="B70" t="s">
        <v>186</v>
      </c>
      <c r="C70">
        <v>1089024</v>
      </c>
      <c r="D70" t="s">
        <v>187</v>
      </c>
      <c r="E70" t="s">
        <v>26</v>
      </c>
      <c r="F70" t="s">
        <v>168</v>
      </c>
      <c r="G70" s="16">
        <v>22000</v>
      </c>
    </row>
    <row r="71" spans="1:7" x14ac:dyDescent="0.3">
      <c r="A71" t="s">
        <v>185</v>
      </c>
      <c r="B71" t="s">
        <v>196</v>
      </c>
      <c r="C71">
        <v>1089084</v>
      </c>
      <c r="D71" t="s">
        <v>197</v>
      </c>
      <c r="E71" t="s">
        <v>198</v>
      </c>
      <c r="F71" t="s">
        <v>199</v>
      </c>
      <c r="G71" s="16">
        <v>26000</v>
      </c>
    </row>
    <row r="72" spans="1:7" x14ac:dyDescent="0.3">
      <c r="A72" t="s">
        <v>185</v>
      </c>
      <c r="B72" t="s">
        <v>192</v>
      </c>
      <c r="C72">
        <v>1089033</v>
      </c>
      <c r="D72" t="s">
        <v>200</v>
      </c>
      <c r="E72" t="s">
        <v>201</v>
      </c>
      <c r="F72" t="s">
        <v>113</v>
      </c>
      <c r="G72" s="16">
        <v>5000</v>
      </c>
    </row>
    <row r="73" spans="1:7" x14ac:dyDescent="0.3">
      <c r="A73" t="s">
        <v>185</v>
      </c>
      <c r="B73" t="s">
        <v>189</v>
      </c>
      <c r="C73">
        <v>1089083</v>
      </c>
      <c r="D73" t="s">
        <v>202</v>
      </c>
      <c r="E73" t="s">
        <v>26</v>
      </c>
      <c r="F73" t="s">
        <v>129</v>
      </c>
      <c r="G73" s="16">
        <v>3000</v>
      </c>
    </row>
    <row r="74" spans="1:7" x14ac:dyDescent="0.3">
      <c r="A74" t="s">
        <v>185</v>
      </c>
      <c r="B74" t="s">
        <v>203</v>
      </c>
      <c r="C74">
        <v>1089055</v>
      </c>
      <c r="D74" t="s">
        <v>204</v>
      </c>
      <c r="E74" t="s">
        <v>26</v>
      </c>
      <c r="F74" t="s">
        <v>129</v>
      </c>
      <c r="G74" s="16">
        <v>3000</v>
      </c>
    </row>
    <row r="75" spans="1:7" x14ac:dyDescent="0.3">
      <c r="A75" t="s">
        <v>185</v>
      </c>
      <c r="B75" t="s">
        <v>205</v>
      </c>
      <c r="C75">
        <v>1089050</v>
      </c>
      <c r="D75" t="s">
        <v>206</v>
      </c>
      <c r="E75" t="s">
        <v>26</v>
      </c>
      <c r="F75" t="s">
        <v>207</v>
      </c>
      <c r="G75" s="16">
        <v>3000</v>
      </c>
    </row>
    <row r="76" spans="1:7" x14ac:dyDescent="0.3">
      <c r="A76" t="s">
        <v>185</v>
      </c>
      <c r="B76" t="s">
        <v>208</v>
      </c>
      <c r="C76">
        <v>1089104</v>
      </c>
      <c r="D76" t="s">
        <v>209</v>
      </c>
      <c r="E76" t="s">
        <v>210</v>
      </c>
      <c r="F76" t="s">
        <v>211</v>
      </c>
      <c r="G76" s="16">
        <v>2000</v>
      </c>
    </row>
    <row r="77" spans="1:7" x14ac:dyDescent="0.3">
      <c r="A77" t="s">
        <v>185</v>
      </c>
      <c r="B77" t="s">
        <v>208</v>
      </c>
      <c r="C77">
        <v>1089106</v>
      </c>
      <c r="D77" t="s">
        <v>212</v>
      </c>
      <c r="E77" t="s">
        <v>210</v>
      </c>
      <c r="F77" t="s">
        <v>211</v>
      </c>
      <c r="G77" s="16">
        <v>2000</v>
      </c>
    </row>
    <row r="78" spans="1:7" x14ac:dyDescent="0.3">
      <c r="A78" t="s">
        <v>185</v>
      </c>
      <c r="B78" t="s">
        <v>213</v>
      </c>
      <c r="C78">
        <v>1089109</v>
      </c>
      <c r="D78" t="s">
        <v>214</v>
      </c>
      <c r="E78" t="s">
        <v>210</v>
      </c>
      <c r="F78" t="s">
        <v>211</v>
      </c>
      <c r="G78" s="16">
        <v>2000</v>
      </c>
    </row>
    <row r="79" spans="1:7" x14ac:dyDescent="0.3">
      <c r="A79" t="s">
        <v>185</v>
      </c>
      <c r="B79" t="s">
        <v>208</v>
      </c>
      <c r="C79">
        <v>1089110</v>
      </c>
      <c r="D79" t="s">
        <v>215</v>
      </c>
      <c r="E79" t="s">
        <v>210</v>
      </c>
      <c r="F79" t="s">
        <v>211</v>
      </c>
      <c r="G79" s="16">
        <v>2000</v>
      </c>
    </row>
    <row r="80" spans="1:7" x14ac:dyDescent="0.3">
      <c r="A80" t="s">
        <v>185</v>
      </c>
      <c r="B80" t="s">
        <v>186</v>
      </c>
      <c r="C80">
        <v>1089064</v>
      </c>
      <c r="D80" t="s">
        <v>191</v>
      </c>
      <c r="E80" t="s">
        <v>44</v>
      </c>
      <c r="F80" t="s">
        <v>141</v>
      </c>
      <c r="G80" s="16">
        <v>2500</v>
      </c>
    </row>
    <row r="81" spans="1:7" x14ac:dyDescent="0.3">
      <c r="A81" t="s">
        <v>185</v>
      </c>
      <c r="B81" t="s">
        <v>208</v>
      </c>
      <c r="C81">
        <v>1089100</v>
      </c>
      <c r="D81" t="s">
        <v>216</v>
      </c>
      <c r="E81" t="s">
        <v>210</v>
      </c>
      <c r="F81" t="s">
        <v>141</v>
      </c>
      <c r="G81" s="16">
        <v>4000</v>
      </c>
    </row>
    <row r="82" spans="1:7" x14ac:dyDescent="0.3">
      <c r="A82" t="s">
        <v>185</v>
      </c>
      <c r="B82" t="s">
        <v>208</v>
      </c>
      <c r="C82">
        <v>1089099</v>
      </c>
      <c r="D82" t="s">
        <v>217</v>
      </c>
      <c r="E82" t="s">
        <v>210</v>
      </c>
      <c r="F82" t="s">
        <v>141</v>
      </c>
      <c r="G82" s="16">
        <v>4000</v>
      </c>
    </row>
    <row r="83" spans="1:7" x14ac:dyDescent="0.3">
      <c r="A83" t="s">
        <v>185</v>
      </c>
      <c r="B83" t="s">
        <v>208</v>
      </c>
      <c r="C83">
        <v>1089097</v>
      </c>
      <c r="D83" t="s">
        <v>218</v>
      </c>
      <c r="E83" t="s">
        <v>210</v>
      </c>
      <c r="F83" t="s">
        <v>141</v>
      </c>
      <c r="G83" s="16">
        <v>4000</v>
      </c>
    </row>
    <row r="84" spans="1:7" x14ac:dyDescent="0.3">
      <c r="A84" t="s">
        <v>185</v>
      </c>
      <c r="B84" t="s">
        <v>208</v>
      </c>
      <c r="C84">
        <v>1089096</v>
      </c>
      <c r="D84" t="s">
        <v>219</v>
      </c>
      <c r="E84" t="s">
        <v>210</v>
      </c>
      <c r="F84" t="s">
        <v>220</v>
      </c>
      <c r="G84" s="16">
        <v>2000</v>
      </c>
    </row>
    <row r="85" spans="1:7" x14ac:dyDescent="0.3">
      <c r="A85" t="s">
        <v>185</v>
      </c>
      <c r="B85" t="s">
        <v>208</v>
      </c>
      <c r="C85">
        <v>1089107</v>
      </c>
      <c r="D85" t="s">
        <v>221</v>
      </c>
      <c r="E85" t="s">
        <v>210</v>
      </c>
      <c r="F85" t="s">
        <v>222</v>
      </c>
      <c r="G85" s="16">
        <v>2000</v>
      </c>
    </row>
    <row r="86" spans="1:7" x14ac:dyDescent="0.3">
      <c r="A86" t="s">
        <v>185</v>
      </c>
      <c r="B86" t="s">
        <v>208</v>
      </c>
      <c r="C86">
        <v>1089108</v>
      </c>
      <c r="D86" t="s">
        <v>221</v>
      </c>
      <c r="E86" t="s">
        <v>210</v>
      </c>
      <c r="F86" t="s">
        <v>222</v>
      </c>
      <c r="G86" s="16">
        <v>2000</v>
      </c>
    </row>
    <row r="87" spans="1:7" x14ac:dyDescent="0.3">
      <c r="A87" t="s">
        <v>185</v>
      </c>
      <c r="B87" t="s">
        <v>208</v>
      </c>
      <c r="C87">
        <v>1089098</v>
      </c>
      <c r="D87" t="s">
        <v>223</v>
      </c>
      <c r="E87" t="s">
        <v>210</v>
      </c>
      <c r="F87" t="s">
        <v>222</v>
      </c>
      <c r="G87" s="16">
        <v>2000</v>
      </c>
    </row>
    <row r="88" spans="1:7" x14ac:dyDescent="0.3">
      <c r="A88" t="s">
        <v>185</v>
      </c>
      <c r="B88" t="s">
        <v>196</v>
      </c>
      <c r="C88">
        <v>1089086</v>
      </c>
      <c r="D88" t="s">
        <v>224</v>
      </c>
      <c r="E88" t="s">
        <v>160</v>
      </c>
      <c r="F88" t="s">
        <v>150</v>
      </c>
      <c r="G88" s="16">
        <v>2500</v>
      </c>
    </row>
    <row r="89" spans="1:7" x14ac:dyDescent="0.3">
      <c r="A89" t="s">
        <v>185</v>
      </c>
      <c r="B89" t="s">
        <v>208</v>
      </c>
      <c r="C89">
        <v>1089101</v>
      </c>
      <c r="D89" t="s">
        <v>225</v>
      </c>
      <c r="E89" t="s">
        <v>210</v>
      </c>
      <c r="F89" t="s">
        <v>226</v>
      </c>
      <c r="G89" s="16">
        <v>2000</v>
      </c>
    </row>
    <row r="90" spans="1:7" x14ac:dyDescent="0.3">
      <c r="A90" t="s">
        <v>185</v>
      </c>
      <c r="B90" t="s">
        <v>208</v>
      </c>
      <c r="C90">
        <v>1089098</v>
      </c>
      <c r="D90" t="s">
        <v>223</v>
      </c>
      <c r="E90" t="s">
        <v>210</v>
      </c>
      <c r="F90" t="s">
        <v>226</v>
      </c>
      <c r="G90" s="16">
        <v>2000</v>
      </c>
    </row>
    <row r="91" spans="1:7" x14ac:dyDescent="0.3">
      <c r="A91" t="s">
        <v>185</v>
      </c>
      <c r="B91" t="s">
        <v>208</v>
      </c>
      <c r="C91">
        <v>1089094</v>
      </c>
      <c r="D91" t="s">
        <v>227</v>
      </c>
      <c r="E91" t="s">
        <v>210</v>
      </c>
      <c r="F91" t="s">
        <v>226</v>
      </c>
      <c r="G91" s="16">
        <v>2000</v>
      </c>
    </row>
    <row r="92" spans="1:7" x14ac:dyDescent="0.3">
      <c r="A92" t="s">
        <v>185</v>
      </c>
      <c r="B92" t="s">
        <v>208</v>
      </c>
      <c r="C92">
        <v>1089102</v>
      </c>
      <c r="D92" t="s">
        <v>228</v>
      </c>
      <c r="E92" t="s">
        <v>210</v>
      </c>
      <c r="F92" t="s">
        <v>229</v>
      </c>
      <c r="G92" s="16">
        <v>2000</v>
      </c>
    </row>
    <row r="93" spans="1:7" x14ac:dyDescent="0.3">
      <c r="A93" t="s">
        <v>185</v>
      </c>
      <c r="B93" t="s">
        <v>208</v>
      </c>
      <c r="C93">
        <v>1089105</v>
      </c>
      <c r="D93" t="s">
        <v>228</v>
      </c>
      <c r="E93" t="s">
        <v>210</v>
      </c>
      <c r="F93" t="s">
        <v>229</v>
      </c>
      <c r="G93" s="16">
        <v>2000</v>
      </c>
    </row>
    <row r="94" spans="1:7" x14ac:dyDescent="0.3">
      <c r="A94" t="s">
        <v>185</v>
      </c>
      <c r="B94" t="s">
        <v>192</v>
      </c>
      <c r="C94">
        <v>1089032</v>
      </c>
      <c r="D94" t="s">
        <v>230</v>
      </c>
      <c r="E94" t="s">
        <v>160</v>
      </c>
      <c r="F94" t="s">
        <v>231</v>
      </c>
      <c r="G94" s="16">
        <v>3000</v>
      </c>
    </row>
    <row r="95" spans="1:7" x14ac:dyDescent="0.3">
      <c r="A95" t="s">
        <v>185</v>
      </c>
      <c r="B95" t="s">
        <v>208</v>
      </c>
      <c r="C95">
        <v>1089101</v>
      </c>
      <c r="D95" t="s">
        <v>225</v>
      </c>
      <c r="E95" t="s">
        <v>210</v>
      </c>
      <c r="F95" t="s">
        <v>231</v>
      </c>
      <c r="G95" s="16">
        <v>2500</v>
      </c>
    </row>
    <row r="96" spans="1:7" x14ac:dyDescent="0.3">
      <c r="A96" t="s">
        <v>185</v>
      </c>
      <c r="B96" t="s">
        <v>208</v>
      </c>
      <c r="C96">
        <v>1089104</v>
      </c>
      <c r="D96" t="s">
        <v>209</v>
      </c>
      <c r="E96" t="s">
        <v>210</v>
      </c>
      <c r="F96" t="s">
        <v>231</v>
      </c>
      <c r="G96" s="16">
        <v>3000</v>
      </c>
    </row>
    <row r="97" spans="1:7" x14ac:dyDescent="0.3">
      <c r="A97" t="s">
        <v>185</v>
      </c>
      <c r="B97" t="s">
        <v>208</v>
      </c>
      <c r="C97">
        <v>1089095</v>
      </c>
      <c r="D97" t="s">
        <v>232</v>
      </c>
      <c r="E97" t="s">
        <v>210</v>
      </c>
      <c r="F97" t="s">
        <v>231</v>
      </c>
      <c r="G97" s="16">
        <v>2500</v>
      </c>
    </row>
    <row r="98" spans="1:7" x14ac:dyDescent="0.3">
      <c r="A98" t="s">
        <v>185</v>
      </c>
      <c r="B98" t="s">
        <v>208</v>
      </c>
      <c r="C98">
        <v>1089094</v>
      </c>
      <c r="D98" t="s">
        <v>227</v>
      </c>
      <c r="E98" t="s">
        <v>210</v>
      </c>
      <c r="F98" t="s">
        <v>231</v>
      </c>
      <c r="G98" s="16">
        <v>2500</v>
      </c>
    </row>
    <row r="99" spans="1:7" x14ac:dyDescent="0.3">
      <c r="A99" t="s">
        <v>185</v>
      </c>
      <c r="B99" t="s">
        <v>192</v>
      </c>
      <c r="C99">
        <v>1089032</v>
      </c>
      <c r="D99" t="s">
        <v>230</v>
      </c>
      <c r="E99" t="s">
        <v>160</v>
      </c>
      <c r="F99" t="s">
        <v>233</v>
      </c>
      <c r="G99" s="16">
        <v>3000</v>
      </c>
    </row>
    <row r="100" spans="1:7" x14ac:dyDescent="0.3">
      <c r="A100" t="s">
        <v>185</v>
      </c>
      <c r="B100" t="s">
        <v>208</v>
      </c>
      <c r="C100">
        <v>1089104</v>
      </c>
      <c r="D100" t="s">
        <v>209</v>
      </c>
      <c r="E100" t="s">
        <v>210</v>
      </c>
      <c r="F100" t="s">
        <v>233</v>
      </c>
      <c r="G100" s="16">
        <v>2500</v>
      </c>
    </row>
    <row r="101" spans="1:7" x14ac:dyDescent="0.3">
      <c r="A101" t="s">
        <v>185</v>
      </c>
      <c r="B101" t="s">
        <v>208</v>
      </c>
      <c r="C101">
        <v>1089100</v>
      </c>
      <c r="D101" t="s">
        <v>216</v>
      </c>
      <c r="E101" t="s">
        <v>210</v>
      </c>
      <c r="F101" t="s">
        <v>233</v>
      </c>
      <c r="G101" s="16">
        <v>2500</v>
      </c>
    </row>
    <row r="102" spans="1:7" x14ac:dyDescent="0.3">
      <c r="A102" t="s">
        <v>185</v>
      </c>
      <c r="B102" t="s">
        <v>208</v>
      </c>
      <c r="C102">
        <v>1089093</v>
      </c>
      <c r="D102" t="s">
        <v>234</v>
      </c>
      <c r="E102" t="s">
        <v>210</v>
      </c>
      <c r="F102" t="s">
        <v>233</v>
      </c>
      <c r="G102" s="16">
        <v>2500</v>
      </c>
    </row>
    <row r="103" spans="1:7" x14ac:dyDescent="0.3">
      <c r="A103" t="s">
        <v>185</v>
      </c>
      <c r="B103" t="s">
        <v>208</v>
      </c>
      <c r="C103">
        <v>1089090</v>
      </c>
      <c r="D103" t="s">
        <v>235</v>
      </c>
      <c r="E103" t="s">
        <v>210</v>
      </c>
      <c r="F103" t="s">
        <v>233</v>
      </c>
      <c r="G103" s="16">
        <v>2500</v>
      </c>
    </row>
    <row r="104" spans="1:7" x14ac:dyDescent="0.3">
      <c r="A104" t="s">
        <v>185</v>
      </c>
      <c r="B104" t="s">
        <v>208</v>
      </c>
      <c r="C104">
        <v>1089089</v>
      </c>
      <c r="D104" t="s">
        <v>236</v>
      </c>
      <c r="E104" t="s">
        <v>210</v>
      </c>
      <c r="F104" t="s">
        <v>237</v>
      </c>
      <c r="G104" s="16">
        <v>2000</v>
      </c>
    </row>
    <row r="105" spans="1:7" ht="15" thickBot="1" x14ac:dyDescent="0.35">
      <c r="G105" s="17">
        <f>SUM(G2:G104)</f>
        <v>913100</v>
      </c>
    </row>
    <row r="106" spans="1:7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activeCell="C1" sqref="C1:F1048576"/>
    </sheetView>
  </sheetViews>
  <sheetFormatPr defaultRowHeight="14.4" x14ac:dyDescent="0.3"/>
  <cols>
    <col min="2" max="2" width="20.21875" customWidth="1"/>
    <col min="3" max="3" width="12.77734375" customWidth="1"/>
    <col min="4" max="4" width="26.5546875" bestFit="1" customWidth="1"/>
    <col min="5" max="5" width="22.21875" customWidth="1"/>
    <col min="6" max="6" width="24" customWidth="1"/>
    <col min="7" max="7" width="11.77734375" style="16" customWidth="1"/>
    <col min="8" max="8" width="10.5546875" bestFit="1" customWidth="1"/>
  </cols>
  <sheetData>
    <row r="1" spans="1:13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3" s="18" customFormat="1" x14ac:dyDescent="0.3">
      <c r="A2" s="18" t="s">
        <v>11</v>
      </c>
      <c r="B2" s="18" t="s">
        <v>238</v>
      </c>
      <c r="C2" s="18">
        <v>1089162</v>
      </c>
      <c r="D2" s="18" t="s">
        <v>239</v>
      </c>
      <c r="E2" s="18" t="s">
        <v>26</v>
      </c>
      <c r="F2" s="18" t="s">
        <v>68</v>
      </c>
      <c r="G2" s="19">
        <v>14000</v>
      </c>
    </row>
    <row r="3" spans="1:13" s="18" customFormat="1" x14ac:dyDescent="0.3">
      <c r="A3" s="18" t="s">
        <v>11</v>
      </c>
      <c r="B3" s="18" t="s">
        <v>240</v>
      </c>
      <c r="C3" s="18">
        <v>1089116</v>
      </c>
      <c r="D3" s="18" t="s">
        <v>241</v>
      </c>
      <c r="E3" s="18" t="s">
        <v>26</v>
      </c>
      <c r="F3" s="18" t="s">
        <v>71</v>
      </c>
      <c r="G3" s="19">
        <v>6500</v>
      </c>
    </row>
    <row r="4" spans="1:13" s="18" customFormat="1" x14ac:dyDescent="0.3">
      <c r="A4" s="18" t="s">
        <v>11</v>
      </c>
      <c r="B4" s="18" t="s">
        <v>242</v>
      </c>
      <c r="C4" s="18">
        <v>1089144</v>
      </c>
      <c r="D4" s="18" t="s">
        <v>243</v>
      </c>
      <c r="E4" s="18" t="s">
        <v>26</v>
      </c>
      <c r="F4" s="18" t="s">
        <v>31</v>
      </c>
      <c r="G4" s="19">
        <v>7500</v>
      </c>
    </row>
    <row r="5" spans="1:13" s="18" customFormat="1" x14ac:dyDescent="0.3">
      <c r="A5" s="18" t="s">
        <v>11</v>
      </c>
      <c r="B5" s="18" t="s">
        <v>244</v>
      </c>
      <c r="C5" s="18">
        <v>1089151</v>
      </c>
      <c r="D5" s="18" t="s">
        <v>245</v>
      </c>
      <c r="E5" s="18" t="s">
        <v>246</v>
      </c>
      <c r="F5" s="18" t="s">
        <v>84</v>
      </c>
      <c r="G5" s="19">
        <v>22000</v>
      </c>
    </row>
    <row r="6" spans="1:13" s="18" customFormat="1" x14ac:dyDescent="0.3">
      <c r="A6" s="18" t="s">
        <v>11</v>
      </c>
      <c r="B6" s="18" t="s">
        <v>247</v>
      </c>
      <c r="C6" s="18">
        <v>1089147</v>
      </c>
      <c r="D6" s="18" t="s">
        <v>248</v>
      </c>
      <c r="E6" s="18" t="s">
        <v>26</v>
      </c>
      <c r="F6" s="18" t="s">
        <v>124</v>
      </c>
      <c r="G6" s="19">
        <v>3000</v>
      </c>
    </row>
    <row r="7" spans="1:13" s="18" customFormat="1" x14ac:dyDescent="0.3">
      <c r="A7" s="18" t="s">
        <v>11</v>
      </c>
      <c r="B7" s="18" t="s">
        <v>249</v>
      </c>
      <c r="C7" s="18">
        <v>1089150</v>
      </c>
      <c r="D7" s="18" t="s">
        <v>250</v>
      </c>
      <c r="E7" s="18" t="s">
        <v>26</v>
      </c>
      <c r="F7" s="18" t="s">
        <v>124</v>
      </c>
      <c r="G7" s="19">
        <v>3000</v>
      </c>
    </row>
    <row r="8" spans="1:13" s="18" customFormat="1" x14ac:dyDescent="0.3">
      <c r="A8" s="18" t="s">
        <v>11</v>
      </c>
      <c r="B8" s="18" t="s">
        <v>240</v>
      </c>
      <c r="C8" s="18">
        <v>1089116</v>
      </c>
      <c r="D8" s="18" t="s">
        <v>241</v>
      </c>
      <c r="E8" s="18" t="s">
        <v>26</v>
      </c>
      <c r="F8" s="18" t="s">
        <v>129</v>
      </c>
      <c r="G8" s="19">
        <v>3000</v>
      </c>
    </row>
    <row r="9" spans="1:13" s="10" customFormat="1" x14ac:dyDescent="0.3">
      <c r="A9" s="18" t="s">
        <v>11</v>
      </c>
      <c r="B9" s="18" t="s">
        <v>251</v>
      </c>
      <c r="C9" s="18">
        <v>1089149</v>
      </c>
      <c r="D9" s="18" t="s">
        <v>252</v>
      </c>
      <c r="E9" s="18" t="s">
        <v>26</v>
      </c>
      <c r="F9" s="18" t="s">
        <v>211</v>
      </c>
      <c r="G9" s="19">
        <v>2500</v>
      </c>
      <c r="H9" s="18"/>
      <c r="I9" s="18"/>
      <c r="J9" s="18"/>
      <c r="K9" s="18"/>
      <c r="L9" s="18"/>
      <c r="M9" s="18"/>
    </row>
    <row r="10" spans="1:13" s="10" customFormat="1" x14ac:dyDescent="0.3">
      <c r="A10" s="18" t="s">
        <v>11</v>
      </c>
      <c r="B10" s="18" t="s">
        <v>244</v>
      </c>
      <c r="C10" s="18">
        <v>1089151</v>
      </c>
      <c r="D10" s="18" t="s">
        <v>245</v>
      </c>
      <c r="E10" s="18" t="s">
        <v>246</v>
      </c>
      <c r="F10" s="18" t="s">
        <v>233</v>
      </c>
      <c r="G10" s="19">
        <v>2500</v>
      </c>
      <c r="H10" s="20">
        <f>SUM(G2:G10)</f>
        <v>64000</v>
      </c>
      <c r="I10" s="18"/>
      <c r="J10" s="18"/>
      <c r="K10" s="18"/>
      <c r="L10" s="18"/>
      <c r="M10" s="18"/>
    </row>
    <row r="11" spans="1:13" s="10" customFormat="1" x14ac:dyDescent="0.3">
      <c r="A11" s="10" t="s">
        <v>0</v>
      </c>
      <c r="B11" s="10" t="s">
        <v>117</v>
      </c>
      <c r="C11" s="10">
        <v>1089111</v>
      </c>
      <c r="D11" s="10" t="s">
        <v>253</v>
      </c>
      <c r="E11" s="10" t="s">
        <v>26</v>
      </c>
      <c r="F11" s="10" t="s">
        <v>51</v>
      </c>
      <c r="G11" s="21">
        <v>15000</v>
      </c>
    </row>
    <row r="12" spans="1:13" s="10" customFormat="1" x14ac:dyDescent="0.3">
      <c r="A12" s="10" t="s">
        <v>0</v>
      </c>
      <c r="B12" s="10" t="s">
        <v>254</v>
      </c>
      <c r="C12" s="10">
        <v>1089135</v>
      </c>
      <c r="D12" s="10" t="s">
        <v>255</v>
      </c>
      <c r="E12" s="10" t="s">
        <v>26</v>
      </c>
      <c r="F12" s="10" t="s">
        <v>51</v>
      </c>
      <c r="G12" s="21">
        <v>15000</v>
      </c>
    </row>
    <row r="13" spans="1:13" s="10" customFormat="1" x14ac:dyDescent="0.3">
      <c r="A13" s="10" t="s">
        <v>0</v>
      </c>
      <c r="B13" s="10" t="s">
        <v>108</v>
      </c>
      <c r="C13" s="10">
        <v>1089133</v>
      </c>
      <c r="D13" s="10" t="s">
        <v>256</v>
      </c>
      <c r="E13" s="10" t="s">
        <v>26</v>
      </c>
      <c r="F13" s="10" t="s">
        <v>51</v>
      </c>
      <c r="G13" s="21">
        <v>15000</v>
      </c>
    </row>
    <row r="14" spans="1:13" s="10" customFormat="1" x14ac:dyDescent="0.3">
      <c r="A14" s="10" t="s">
        <v>0</v>
      </c>
      <c r="B14" s="10" t="s">
        <v>257</v>
      </c>
      <c r="C14" s="10">
        <v>1089118</v>
      </c>
      <c r="D14" s="10" t="s">
        <v>258</v>
      </c>
      <c r="E14" s="10" t="s">
        <v>34</v>
      </c>
      <c r="F14" s="10" t="s">
        <v>259</v>
      </c>
      <c r="G14" s="21">
        <v>10000</v>
      </c>
    </row>
    <row r="15" spans="1:13" s="10" customFormat="1" x14ac:dyDescent="0.3">
      <c r="A15" s="10" t="s">
        <v>0</v>
      </c>
      <c r="B15" s="10" t="s">
        <v>260</v>
      </c>
      <c r="C15" s="10">
        <v>1089164</v>
      </c>
      <c r="D15" s="10" t="s">
        <v>261</v>
      </c>
      <c r="E15" s="10" t="s">
        <v>26</v>
      </c>
      <c r="F15" s="10" t="s">
        <v>65</v>
      </c>
      <c r="G15" s="21">
        <v>12000</v>
      </c>
    </row>
    <row r="16" spans="1:13" s="10" customFormat="1" x14ac:dyDescent="0.3">
      <c r="A16" s="10" t="s">
        <v>0</v>
      </c>
      <c r="B16" s="10" t="s">
        <v>260</v>
      </c>
      <c r="C16" s="10">
        <v>1089165</v>
      </c>
      <c r="D16" s="10" t="s">
        <v>262</v>
      </c>
      <c r="E16" s="10" t="s">
        <v>26</v>
      </c>
      <c r="F16" s="10" t="s">
        <v>65</v>
      </c>
      <c r="G16" s="21">
        <v>12000</v>
      </c>
    </row>
    <row r="17" spans="1:13" s="10" customFormat="1" x14ac:dyDescent="0.3">
      <c r="A17" s="10" t="s">
        <v>0</v>
      </c>
      <c r="B17" s="10" t="s">
        <v>263</v>
      </c>
      <c r="C17" s="10">
        <v>1089159</v>
      </c>
      <c r="D17" s="10" t="s">
        <v>264</v>
      </c>
      <c r="E17" s="10" t="s">
        <v>26</v>
      </c>
      <c r="F17" s="10" t="s">
        <v>68</v>
      </c>
      <c r="G17" s="21">
        <v>14000</v>
      </c>
    </row>
    <row r="18" spans="1:13" s="10" customFormat="1" x14ac:dyDescent="0.3">
      <c r="A18" s="10" t="s">
        <v>0</v>
      </c>
      <c r="B18" s="10" t="s">
        <v>77</v>
      </c>
      <c r="C18" s="10">
        <v>1089153</v>
      </c>
      <c r="D18" s="10" t="s">
        <v>265</v>
      </c>
      <c r="E18" s="10" t="s">
        <v>26</v>
      </c>
      <c r="F18" s="10" t="s">
        <v>266</v>
      </c>
      <c r="G18" s="21">
        <v>15000</v>
      </c>
    </row>
    <row r="19" spans="1:13" s="10" customFormat="1" x14ac:dyDescent="0.3">
      <c r="A19" s="10" t="s">
        <v>0</v>
      </c>
      <c r="B19" s="10" t="s">
        <v>96</v>
      </c>
      <c r="C19" s="10">
        <v>1089146</v>
      </c>
      <c r="D19" s="10" t="s">
        <v>267</v>
      </c>
      <c r="E19" s="10" t="s">
        <v>26</v>
      </c>
      <c r="F19" s="10" t="s">
        <v>31</v>
      </c>
      <c r="G19" s="21">
        <v>7500</v>
      </c>
    </row>
    <row r="20" spans="1:13" s="10" customFormat="1" x14ac:dyDescent="0.3">
      <c r="A20" s="10" t="s">
        <v>0</v>
      </c>
      <c r="B20" s="10" t="s">
        <v>268</v>
      </c>
      <c r="C20" s="10">
        <v>1089114</v>
      </c>
      <c r="D20" s="10" t="s">
        <v>269</v>
      </c>
      <c r="E20" s="10" t="s">
        <v>26</v>
      </c>
      <c r="F20" s="10" t="s">
        <v>270</v>
      </c>
      <c r="G20" s="21">
        <v>40000</v>
      </c>
    </row>
    <row r="21" spans="1:13" s="10" customFormat="1" x14ac:dyDescent="0.3">
      <c r="A21" s="10" t="s">
        <v>0</v>
      </c>
      <c r="B21" s="10" t="s">
        <v>271</v>
      </c>
      <c r="C21" s="10">
        <v>1089117</v>
      </c>
      <c r="D21" s="10" t="s">
        <v>272</v>
      </c>
      <c r="E21" s="10" t="s">
        <v>26</v>
      </c>
      <c r="F21" s="10" t="s">
        <v>270</v>
      </c>
      <c r="G21" s="21">
        <v>40000</v>
      </c>
    </row>
    <row r="22" spans="1:13" s="10" customFormat="1" x14ac:dyDescent="0.3">
      <c r="A22" s="10" t="s">
        <v>0</v>
      </c>
      <c r="B22" s="10" t="s">
        <v>273</v>
      </c>
      <c r="C22" s="10">
        <v>1089128</v>
      </c>
      <c r="D22" s="10" t="s">
        <v>274</v>
      </c>
      <c r="E22" s="10" t="s">
        <v>34</v>
      </c>
      <c r="F22" s="10" t="s">
        <v>275</v>
      </c>
      <c r="G22" s="21">
        <v>18000</v>
      </c>
    </row>
    <row r="23" spans="1:13" s="10" customFormat="1" x14ac:dyDescent="0.3">
      <c r="A23" s="10" t="s">
        <v>0</v>
      </c>
      <c r="B23" s="10" t="s">
        <v>273</v>
      </c>
      <c r="C23" s="10">
        <v>1089128</v>
      </c>
      <c r="D23" s="10" t="s">
        <v>274</v>
      </c>
      <c r="E23" s="10" t="s">
        <v>34</v>
      </c>
      <c r="F23" s="10" t="s">
        <v>39</v>
      </c>
      <c r="G23" s="21">
        <v>18000</v>
      </c>
    </row>
    <row r="24" spans="1:13" s="10" customFormat="1" x14ac:dyDescent="0.3">
      <c r="A24" s="10" t="s">
        <v>0</v>
      </c>
      <c r="B24" s="10" t="s">
        <v>276</v>
      </c>
      <c r="C24" s="10">
        <v>1089143</v>
      </c>
      <c r="D24" s="10" t="s">
        <v>277</v>
      </c>
      <c r="E24" s="10" t="s">
        <v>26</v>
      </c>
      <c r="F24" s="10" t="s">
        <v>39</v>
      </c>
      <c r="G24" s="21">
        <v>20000</v>
      </c>
    </row>
    <row r="25" spans="1:13" s="23" customFormat="1" x14ac:dyDescent="0.3">
      <c r="A25" s="10" t="s">
        <v>0</v>
      </c>
      <c r="B25" s="10" t="s">
        <v>196</v>
      </c>
      <c r="C25" s="10">
        <v>1089169</v>
      </c>
      <c r="D25" s="10" t="s">
        <v>278</v>
      </c>
      <c r="E25" s="10" t="s">
        <v>26</v>
      </c>
      <c r="F25" s="10" t="s">
        <v>84</v>
      </c>
      <c r="G25" s="21">
        <v>20000</v>
      </c>
      <c r="H25" s="10"/>
      <c r="I25" s="10"/>
      <c r="J25" s="10"/>
      <c r="K25" s="10"/>
      <c r="L25" s="10"/>
      <c r="M25" s="10"/>
    </row>
    <row r="26" spans="1:13" s="10" customFormat="1" x14ac:dyDescent="0.3">
      <c r="A26" s="10" t="s">
        <v>0</v>
      </c>
      <c r="B26" s="10" t="s">
        <v>114</v>
      </c>
      <c r="C26" s="10">
        <v>1089172</v>
      </c>
      <c r="D26" s="10" t="s">
        <v>279</v>
      </c>
      <c r="E26" s="10" t="s">
        <v>60</v>
      </c>
      <c r="F26" s="10" t="s">
        <v>280</v>
      </c>
      <c r="G26" s="21">
        <v>55000</v>
      </c>
    </row>
    <row r="27" spans="1:13" s="10" customFormat="1" x14ac:dyDescent="0.3">
      <c r="A27" s="10" t="s">
        <v>0</v>
      </c>
      <c r="B27" s="10" t="s">
        <v>125</v>
      </c>
      <c r="C27" s="10">
        <v>1089148</v>
      </c>
      <c r="D27" s="10" t="s">
        <v>281</v>
      </c>
      <c r="E27" s="10" t="s">
        <v>60</v>
      </c>
      <c r="F27" s="10" t="s">
        <v>45</v>
      </c>
      <c r="G27" s="21">
        <v>20000</v>
      </c>
    </row>
    <row r="28" spans="1:13" s="10" customFormat="1" x14ac:dyDescent="0.3">
      <c r="A28" s="10" t="s">
        <v>0</v>
      </c>
      <c r="B28" s="10" t="s">
        <v>80</v>
      </c>
      <c r="C28" s="10">
        <v>1089125</v>
      </c>
      <c r="D28" s="10" t="s">
        <v>282</v>
      </c>
      <c r="E28" s="10" t="s">
        <v>26</v>
      </c>
      <c r="F28" s="10" t="s">
        <v>195</v>
      </c>
      <c r="G28" s="21">
        <v>20000</v>
      </c>
    </row>
    <row r="29" spans="1:13" s="10" customFormat="1" x14ac:dyDescent="0.3">
      <c r="A29" s="10" t="s">
        <v>0</v>
      </c>
      <c r="B29" s="10" t="s">
        <v>283</v>
      </c>
      <c r="C29" s="10">
        <v>1089126</v>
      </c>
      <c r="D29" s="10" t="s">
        <v>284</v>
      </c>
      <c r="E29" s="10" t="s">
        <v>26</v>
      </c>
      <c r="F29" s="10" t="s">
        <v>110</v>
      </c>
      <c r="G29" s="21">
        <v>6000</v>
      </c>
    </row>
    <row r="30" spans="1:13" s="10" customFormat="1" x14ac:dyDescent="0.3">
      <c r="A30" s="10" t="s">
        <v>0</v>
      </c>
      <c r="B30" s="10" t="s">
        <v>263</v>
      </c>
      <c r="C30" s="10">
        <v>1089163</v>
      </c>
      <c r="D30" s="10" t="s">
        <v>264</v>
      </c>
      <c r="E30" s="10" t="s">
        <v>26</v>
      </c>
      <c r="F30" s="10" t="s">
        <v>285</v>
      </c>
      <c r="G30" s="21">
        <v>4000</v>
      </c>
    </row>
    <row r="31" spans="1:13" s="10" customFormat="1" x14ac:dyDescent="0.3">
      <c r="A31" s="10" t="s">
        <v>0</v>
      </c>
      <c r="B31" s="10" t="s">
        <v>125</v>
      </c>
      <c r="C31" s="10">
        <v>1089171</v>
      </c>
      <c r="D31" s="10" t="s">
        <v>286</v>
      </c>
      <c r="E31" s="10" t="s">
        <v>160</v>
      </c>
      <c r="F31" s="10" t="s">
        <v>124</v>
      </c>
      <c r="G31" s="21">
        <v>4000</v>
      </c>
    </row>
    <row r="32" spans="1:13" s="10" customFormat="1" x14ac:dyDescent="0.3">
      <c r="A32" s="10" t="s">
        <v>0</v>
      </c>
      <c r="B32" s="10" t="s">
        <v>125</v>
      </c>
      <c r="C32" s="10">
        <v>1089119</v>
      </c>
      <c r="D32" s="10" t="s">
        <v>287</v>
      </c>
      <c r="E32" s="10" t="s">
        <v>26</v>
      </c>
      <c r="F32" s="10" t="s">
        <v>124</v>
      </c>
      <c r="G32" s="21">
        <v>3000</v>
      </c>
    </row>
    <row r="33" spans="1:7" s="10" customFormat="1" x14ac:dyDescent="0.3">
      <c r="A33" s="10" t="s">
        <v>0</v>
      </c>
      <c r="B33" s="10" t="s">
        <v>125</v>
      </c>
      <c r="C33" s="10">
        <v>1089120</v>
      </c>
      <c r="D33" s="10" t="s">
        <v>288</v>
      </c>
      <c r="E33" s="10" t="s">
        <v>26</v>
      </c>
      <c r="F33" s="10" t="s">
        <v>124</v>
      </c>
      <c r="G33" s="21">
        <v>3000</v>
      </c>
    </row>
    <row r="34" spans="1:7" s="10" customFormat="1" x14ac:dyDescent="0.3">
      <c r="A34" s="10" t="s">
        <v>0</v>
      </c>
      <c r="B34" s="10" t="s">
        <v>289</v>
      </c>
      <c r="C34" s="10">
        <v>1089170</v>
      </c>
      <c r="D34" s="10" t="s">
        <v>290</v>
      </c>
      <c r="E34" s="10" t="s">
        <v>60</v>
      </c>
      <c r="F34" s="10" t="s">
        <v>129</v>
      </c>
      <c r="G34" s="21">
        <v>3000</v>
      </c>
    </row>
    <row r="35" spans="1:7" s="10" customFormat="1" x14ac:dyDescent="0.3">
      <c r="A35" s="10" t="s">
        <v>0</v>
      </c>
      <c r="B35" s="10" t="s">
        <v>127</v>
      </c>
      <c r="C35" s="10">
        <v>1089167</v>
      </c>
      <c r="D35" s="10" t="s">
        <v>291</v>
      </c>
      <c r="E35" s="10" t="s">
        <v>26</v>
      </c>
      <c r="F35" s="10" t="s">
        <v>129</v>
      </c>
      <c r="G35" s="21">
        <v>3000</v>
      </c>
    </row>
    <row r="36" spans="1:7" s="10" customFormat="1" x14ac:dyDescent="0.3">
      <c r="A36" s="10" t="s">
        <v>0</v>
      </c>
      <c r="B36" s="10" t="s">
        <v>257</v>
      </c>
      <c r="C36" s="10">
        <v>1089118</v>
      </c>
      <c r="D36" s="10" t="s">
        <v>258</v>
      </c>
      <c r="E36" s="10" t="s">
        <v>34</v>
      </c>
      <c r="F36" s="10" t="s">
        <v>292</v>
      </c>
      <c r="G36" s="21">
        <v>4000</v>
      </c>
    </row>
    <row r="37" spans="1:7" s="10" customFormat="1" x14ac:dyDescent="0.3">
      <c r="A37" s="10" t="s">
        <v>0</v>
      </c>
      <c r="B37" s="10" t="s">
        <v>293</v>
      </c>
      <c r="C37" s="10">
        <v>1089137</v>
      </c>
      <c r="D37" s="10" t="s">
        <v>294</v>
      </c>
      <c r="E37" s="10" t="s">
        <v>26</v>
      </c>
      <c r="F37" s="10" t="s">
        <v>211</v>
      </c>
      <c r="G37" s="21">
        <v>2500</v>
      </c>
    </row>
    <row r="38" spans="1:7" s="10" customFormat="1" x14ac:dyDescent="0.3">
      <c r="A38" s="10" t="s">
        <v>0</v>
      </c>
      <c r="B38" s="10" t="s">
        <v>295</v>
      </c>
      <c r="C38" s="10">
        <v>1089158</v>
      </c>
      <c r="D38" s="10" t="s">
        <v>296</v>
      </c>
      <c r="E38" s="10" t="s">
        <v>201</v>
      </c>
      <c r="F38" s="10" t="s">
        <v>211</v>
      </c>
      <c r="G38" s="21">
        <v>1800</v>
      </c>
    </row>
    <row r="39" spans="1:7" s="10" customFormat="1" x14ac:dyDescent="0.3">
      <c r="A39" s="10" t="s">
        <v>0</v>
      </c>
      <c r="B39" s="10" t="s">
        <v>297</v>
      </c>
      <c r="C39" s="10">
        <v>1089131</v>
      </c>
      <c r="D39" s="10" t="s">
        <v>298</v>
      </c>
      <c r="E39" s="10" t="s">
        <v>201</v>
      </c>
      <c r="F39" s="10" t="s">
        <v>299</v>
      </c>
      <c r="G39" s="21">
        <v>2200</v>
      </c>
    </row>
    <row r="40" spans="1:7" s="10" customFormat="1" x14ac:dyDescent="0.3">
      <c r="A40" s="10" t="s">
        <v>0</v>
      </c>
      <c r="B40" s="10" t="s">
        <v>283</v>
      </c>
      <c r="C40" s="10">
        <v>1089126</v>
      </c>
      <c r="D40" s="10" t="s">
        <v>284</v>
      </c>
      <c r="E40" s="10" t="s">
        <v>26</v>
      </c>
      <c r="F40" s="10" t="s">
        <v>142</v>
      </c>
      <c r="G40" s="21">
        <v>2000</v>
      </c>
    </row>
    <row r="41" spans="1:7" s="10" customFormat="1" x14ac:dyDescent="0.3">
      <c r="A41" s="10" t="s">
        <v>0</v>
      </c>
      <c r="B41" s="10" t="s">
        <v>300</v>
      </c>
      <c r="C41" s="10">
        <v>1089154</v>
      </c>
      <c r="D41" s="10" t="s">
        <v>301</v>
      </c>
      <c r="E41" s="10" t="s">
        <v>26</v>
      </c>
      <c r="F41" s="10" t="s">
        <v>142</v>
      </c>
      <c r="G41" s="21">
        <v>2000</v>
      </c>
    </row>
    <row r="42" spans="1:7" s="10" customFormat="1" x14ac:dyDescent="0.3">
      <c r="A42" s="10" t="s">
        <v>0</v>
      </c>
      <c r="B42" s="10" t="s">
        <v>302</v>
      </c>
      <c r="C42" s="10">
        <v>1089160</v>
      </c>
      <c r="D42" s="10" t="s">
        <v>303</v>
      </c>
      <c r="E42" s="10" t="s">
        <v>26</v>
      </c>
      <c r="F42" s="10" t="s">
        <v>142</v>
      </c>
      <c r="G42" s="21">
        <v>2000</v>
      </c>
    </row>
    <row r="43" spans="1:7" s="10" customFormat="1" x14ac:dyDescent="0.3">
      <c r="A43" s="10" t="s">
        <v>0</v>
      </c>
      <c r="B43" s="10" t="s">
        <v>135</v>
      </c>
      <c r="C43" s="10">
        <v>1089129</v>
      </c>
      <c r="D43" s="10" t="s">
        <v>304</v>
      </c>
      <c r="E43" s="10" t="s">
        <v>305</v>
      </c>
      <c r="F43" s="10" t="s">
        <v>226</v>
      </c>
      <c r="G43" s="21">
        <v>2000</v>
      </c>
    </row>
    <row r="44" spans="1:7" s="10" customFormat="1" x14ac:dyDescent="0.3">
      <c r="A44" s="10" t="s">
        <v>0</v>
      </c>
      <c r="B44" s="10" t="s">
        <v>293</v>
      </c>
      <c r="C44" s="10">
        <v>1089137</v>
      </c>
      <c r="D44" s="10" t="s">
        <v>294</v>
      </c>
      <c r="E44" s="10" t="s">
        <v>26</v>
      </c>
      <c r="F44" s="10" t="s">
        <v>226</v>
      </c>
      <c r="G44" s="21">
        <v>2500</v>
      </c>
    </row>
    <row r="45" spans="1:7" s="10" customFormat="1" x14ac:dyDescent="0.3">
      <c r="A45" s="10" t="s">
        <v>0</v>
      </c>
      <c r="B45" s="10" t="s">
        <v>295</v>
      </c>
      <c r="C45" s="10">
        <v>1089158</v>
      </c>
      <c r="D45" s="10" t="s">
        <v>296</v>
      </c>
      <c r="E45" s="10" t="s">
        <v>201</v>
      </c>
      <c r="F45" s="10" t="s">
        <v>226</v>
      </c>
      <c r="G45" s="21">
        <v>1800</v>
      </c>
    </row>
    <row r="46" spans="1:7" s="10" customFormat="1" x14ac:dyDescent="0.3">
      <c r="A46" s="10" t="s">
        <v>0</v>
      </c>
      <c r="B46" s="10" t="s">
        <v>306</v>
      </c>
      <c r="C46" s="10">
        <v>1089136</v>
      </c>
      <c r="D46" s="10" t="s">
        <v>307</v>
      </c>
      <c r="E46" s="10" t="s">
        <v>34</v>
      </c>
      <c r="F46" s="10" t="s">
        <v>229</v>
      </c>
      <c r="G46" s="21">
        <v>1800</v>
      </c>
    </row>
    <row r="47" spans="1:7" s="10" customFormat="1" x14ac:dyDescent="0.3">
      <c r="A47" s="10" t="s">
        <v>0</v>
      </c>
      <c r="B47" s="10" t="s">
        <v>297</v>
      </c>
      <c r="C47" s="10">
        <v>1089131</v>
      </c>
      <c r="D47" s="10" t="s">
        <v>298</v>
      </c>
      <c r="E47" s="10" t="s">
        <v>201</v>
      </c>
      <c r="F47" s="10" t="s">
        <v>231</v>
      </c>
      <c r="G47" s="21">
        <v>2500</v>
      </c>
    </row>
    <row r="48" spans="1:7" s="10" customFormat="1" x14ac:dyDescent="0.3">
      <c r="A48" s="10" t="s">
        <v>0</v>
      </c>
      <c r="B48" s="10" t="s">
        <v>297</v>
      </c>
      <c r="C48" s="10">
        <v>1089131</v>
      </c>
      <c r="D48" s="10" t="s">
        <v>298</v>
      </c>
      <c r="E48" s="10" t="s">
        <v>201</v>
      </c>
      <c r="F48" s="10" t="s">
        <v>233</v>
      </c>
      <c r="G48" s="21">
        <v>2500</v>
      </c>
    </row>
    <row r="49" spans="1:13" s="10" customFormat="1" x14ac:dyDescent="0.3">
      <c r="A49" s="10" t="s">
        <v>0</v>
      </c>
      <c r="B49" s="10" t="s">
        <v>308</v>
      </c>
      <c r="C49" s="10">
        <v>1089155</v>
      </c>
      <c r="D49" s="10" t="s">
        <v>309</v>
      </c>
      <c r="E49" s="10" t="s">
        <v>198</v>
      </c>
      <c r="F49" s="10" t="s">
        <v>237</v>
      </c>
      <c r="G49" s="21">
        <v>2200</v>
      </c>
    </row>
    <row r="50" spans="1:13" s="23" customFormat="1" x14ac:dyDescent="0.3">
      <c r="A50" s="10" t="s">
        <v>0</v>
      </c>
      <c r="B50" s="10" t="s">
        <v>297</v>
      </c>
      <c r="C50" s="10">
        <v>1089131</v>
      </c>
      <c r="D50" s="10" t="s">
        <v>298</v>
      </c>
      <c r="E50" s="10" t="s">
        <v>201</v>
      </c>
      <c r="F50" s="10" t="s">
        <v>237</v>
      </c>
      <c r="G50" s="21">
        <v>1800</v>
      </c>
      <c r="H50" s="10"/>
      <c r="I50" s="10"/>
      <c r="J50" s="10"/>
      <c r="K50" s="10"/>
      <c r="L50" s="10"/>
      <c r="M50" s="10"/>
    </row>
    <row r="51" spans="1:13" s="23" customFormat="1" x14ac:dyDescent="0.3">
      <c r="A51" s="23" t="s">
        <v>9</v>
      </c>
      <c r="B51" s="23" t="s">
        <v>310</v>
      </c>
      <c r="C51" s="23">
        <v>1089168</v>
      </c>
      <c r="D51" s="23" t="s">
        <v>311</v>
      </c>
      <c r="E51" s="23" t="s">
        <v>34</v>
      </c>
      <c r="F51" s="23" t="s">
        <v>65</v>
      </c>
      <c r="G51" s="24">
        <v>8000</v>
      </c>
    </row>
    <row r="52" spans="1:13" s="23" customFormat="1" x14ac:dyDescent="0.3">
      <c r="A52" s="23" t="s">
        <v>9</v>
      </c>
      <c r="B52" s="23" t="s">
        <v>312</v>
      </c>
      <c r="C52" s="23">
        <v>1089166</v>
      </c>
      <c r="D52" s="23" t="s">
        <v>313</v>
      </c>
      <c r="E52" s="23" t="s">
        <v>26</v>
      </c>
      <c r="F52" s="23" t="s">
        <v>314</v>
      </c>
      <c r="G52" s="24">
        <v>40000</v>
      </c>
    </row>
    <row r="53" spans="1:13" s="23" customFormat="1" x14ac:dyDescent="0.3">
      <c r="A53" s="23" t="s">
        <v>9</v>
      </c>
      <c r="B53" s="23" t="s">
        <v>153</v>
      </c>
      <c r="C53" s="23">
        <v>1089141</v>
      </c>
      <c r="D53" s="23" t="s">
        <v>315</v>
      </c>
      <c r="E53" s="23" t="s">
        <v>26</v>
      </c>
      <c r="F53" s="23" t="s">
        <v>316</v>
      </c>
      <c r="G53" s="24">
        <v>20000</v>
      </c>
    </row>
    <row r="54" spans="1:13" s="23" customFormat="1" x14ac:dyDescent="0.3">
      <c r="A54" s="23" t="s">
        <v>9</v>
      </c>
      <c r="B54" s="23" t="s">
        <v>317</v>
      </c>
      <c r="C54" s="23">
        <v>1089140</v>
      </c>
      <c r="D54" s="23" t="s">
        <v>318</v>
      </c>
      <c r="E54" s="23" t="s">
        <v>26</v>
      </c>
      <c r="F54" s="23" t="s">
        <v>275</v>
      </c>
      <c r="G54" s="24">
        <v>22000</v>
      </c>
    </row>
    <row r="55" spans="1:13" s="25" customFormat="1" x14ac:dyDescent="0.3">
      <c r="A55" s="23" t="s">
        <v>9</v>
      </c>
      <c r="B55" s="23" t="s">
        <v>319</v>
      </c>
      <c r="C55" s="23">
        <v>1089132</v>
      </c>
      <c r="D55" s="23" t="s">
        <v>320</v>
      </c>
      <c r="E55" s="23" t="s">
        <v>26</v>
      </c>
      <c r="F55" s="23" t="s">
        <v>84</v>
      </c>
      <c r="G55" s="24">
        <v>20000</v>
      </c>
      <c r="H55" s="23"/>
      <c r="I55" s="23"/>
      <c r="J55" s="23"/>
      <c r="K55" s="23"/>
      <c r="L55" s="23"/>
      <c r="M55" s="23"/>
    </row>
    <row r="56" spans="1:13" s="23" customFormat="1" x14ac:dyDescent="0.3">
      <c r="A56" s="23" t="s">
        <v>9</v>
      </c>
      <c r="B56" s="23" t="s">
        <v>321</v>
      </c>
      <c r="C56" s="23">
        <v>1089112</v>
      </c>
      <c r="D56" s="23" t="s">
        <v>322</v>
      </c>
      <c r="E56" s="23" t="s">
        <v>201</v>
      </c>
      <c r="F56" s="23" t="s">
        <v>84</v>
      </c>
      <c r="G56" s="24">
        <v>21000</v>
      </c>
    </row>
    <row r="57" spans="1:13" s="23" customFormat="1" x14ac:dyDescent="0.3">
      <c r="A57" s="23" t="s">
        <v>9</v>
      </c>
      <c r="B57" s="23" t="s">
        <v>323</v>
      </c>
      <c r="C57" s="23">
        <v>1089157</v>
      </c>
      <c r="D57" s="23" t="s">
        <v>324</v>
      </c>
      <c r="E57" s="23" t="s">
        <v>26</v>
      </c>
      <c r="F57" s="23" t="s">
        <v>84</v>
      </c>
      <c r="G57" s="24">
        <v>20000</v>
      </c>
    </row>
    <row r="58" spans="1:13" s="23" customFormat="1" x14ac:dyDescent="0.3">
      <c r="A58" s="23" t="s">
        <v>9</v>
      </c>
      <c r="B58" s="23" t="s">
        <v>153</v>
      </c>
      <c r="C58" s="23">
        <v>1089141</v>
      </c>
      <c r="D58" s="23" t="s">
        <v>315</v>
      </c>
      <c r="E58" s="23" t="s">
        <v>26</v>
      </c>
      <c r="F58" s="23" t="s">
        <v>84</v>
      </c>
      <c r="G58" s="24">
        <v>20000</v>
      </c>
    </row>
    <row r="59" spans="1:13" s="23" customFormat="1" x14ac:dyDescent="0.3">
      <c r="A59" s="23" t="s">
        <v>9</v>
      </c>
      <c r="B59" s="23" t="s">
        <v>153</v>
      </c>
      <c r="C59" s="23">
        <v>1089115</v>
      </c>
      <c r="D59" s="23" t="s">
        <v>161</v>
      </c>
      <c r="E59" s="23" t="s">
        <v>26</v>
      </c>
      <c r="F59" s="23" t="s">
        <v>155</v>
      </c>
      <c r="G59" s="24">
        <v>10000</v>
      </c>
    </row>
    <row r="60" spans="1:13" s="23" customFormat="1" x14ac:dyDescent="0.3">
      <c r="A60" s="23" t="s">
        <v>9</v>
      </c>
      <c r="B60" s="23" t="s">
        <v>174</v>
      </c>
      <c r="C60" s="23">
        <v>1089113</v>
      </c>
      <c r="D60" s="23" t="s">
        <v>325</v>
      </c>
      <c r="E60" s="23" t="s">
        <v>64</v>
      </c>
      <c r="F60" s="23" t="s">
        <v>129</v>
      </c>
      <c r="G60" s="24">
        <v>4000</v>
      </c>
    </row>
    <row r="61" spans="1:13" s="23" customFormat="1" x14ac:dyDescent="0.3">
      <c r="A61" s="23" t="s">
        <v>9</v>
      </c>
      <c r="B61" s="23" t="s">
        <v>153</v>
      </c>
      <c r="C61" s="23">
        <v>1089145</v>
      </c>
      <c r="D61" s="23" t="s">
        <v>326</v>
      </c>
      <c r="E61" s="23" t="s">
        <v>26</v>
      </c>
      <c r="F61" s="23" t="s">
        <v>141</v>
      </c>
      <c r="G61" s="24">
        <v>5000</v>
      </c>
    </row>
    <row r="62" spans="1:13" x14ac:dyDescent="0.3">
      <c r="A62" s="23" t="s">
        <v>9</v>
      </c>
      <c r="B62" s="23" t="s">
        <v>153</v>
      </c>
      <c r="C62" s="23">
        <v>1089145</v>
      </c>
      <c r="D62" s="23" t="s">
        <v>326</v>
      </c>
      <c r="E62" s="23" t="s">
        <v>26</v>
      </c>
      <c r="F62" s="23" t="s">
        <v>327</v>
      </c>
      <c r="G62" s="24">
        <v>5000</v>
      </c>
      <c r="H62" s="23"/>
      <c r="I62" s="23"/>
      <c r="J62" s="23"/>
      <c r="K62" s="23"/>
      <c r="L62" s="23"/>
      <c r="M62" s="23"/>
    </row>
    <row r="63" spans="1:13" x14ac:dyDescent="0.3">
      <c r="A63" s="23" t="s">
        <v>9</v>
      </c>
      <c r="B63" s="23" t="s">
        <v>328</v>
      </c>
      <c r="C63" s="23">
        <v>1089152</v>
      </c>
      <c r="D63" s="23" t="s">
        <v>329</v>
      </c>
      <c r="E63" s="23" t="s">
        <v>198</v>
      </c>
      <c r="F63" s="23" t="s">
        <v>39</v>
      </c>
      <c r="G63" s="24">
        <v>24000</v>
      </c>
      <c r="H63" s="23"/>
      <c r="I63" s="23"/>
      <c r="J63" s="23"/>
      <c r="K63" s="23"/>
      <c r="L63" s="23"/>
      <c r="M63" s="23"/>
    </row>
    <row r="64" spans="1:13" x14ac:dyDescent="0.3">
      <c r="A64" t="s">
        <v>185</v>
      </c>
      <c r="B64" t="s">
        <v>330</v>
      </c>
      <c r="C64">
        <v>1089124</v>
      </c>
      <c r="D64" t="s">
        <v>331</v>
      </c>
      <c r="E64" t="s">
        <v>26</v>
      </c>
      <c r="F64" t="s">
        <v>71</v>
      </c>
      <c r="G64" s="16">
        <v>6500</v>
      </c>
    </row>
    <row r="65" spans="1:13" s="23" customFormat="1" x14ac:dyDescent="0.3">
      <c r="A65" s="25" t="s">
        <v>185</v>
      </c>
      <c r="B65" s="25" t="s">
        <v>332</v>
      </c>
      <c r="C65" s="25">
        <v>1089130</v>
      </c>
      <c r="D65" s="25" t="s">
        <v>333</v>
      </c>
      <c r="E65" s="25" t="s">
        <v>334</v>
      </c>
      <c r="F65" s="25" t="s">
        <v>335</v>
      </c>
      <c r="G65" s="26">
        <v>25000</v>
      </c>
      <c r="H65" s="25"/>
      <c r="I65" s="25"/>
      <c r="J65" s="25"/>
      <c r="K65" s="25"/>
      <c r="L65" s="25"/>
      <c r="M65" s="25"/>
    </row>
    <row r="66" spans="1:13" x14ac:dyDescent="0.3">
      <c r="A66" t="s">
        <v>185</v>
      </c>
      <c r="B66" t="s">
        <v>189</v>
      </c>
      <c r="C66">
        <v>1089123</v>
      </c>
      <c r="D66" t="s">
        <v>336</v>
      </c>
      <c r="E66" t="s">
        <v>26</v>
      </c>
      <c r="F66" t="s">
        <v>337</v>
      </c>
      <c r="G66" s="16">
        <v>4000</v>
      </c>
    </row>
    <row r="67" spans="1:13" x14ac:dyDescent="0.3">
      <c r="A67" t="s">
        <v>185</v>
      </c>
      <c r="B67" t="s">
        <v>205</v>
      </c>
      <c r="C67">
        <v>1089138</v>
      </c>
      <c r="D67" t="s">
        <v>338</v>
      </c>
      <c r="E67" t="s">
        <v>26</v>
      </c>
      <c r="F67" t="s">
        <v>124</v>
      </c>
      <c r="G67" s="16">
        <v>3000</v>
      </c>
    </row>
    <row r="68" spans="1:13" x14ac:dyDescent="0.3">
      <c r="A68" t="s">
        <v>185</v>
      </c>
      <c r="B68" t="s">
        <v>205</v>
      </c>
      <c r="C68">
        <v>1089121</v>
      </c>
      <c r="D68" t="s">
        <v>339</v>
      </c>
      <c r="E68" t="s">
        <v>26</v>
      </c>
      <c r="F68" t="s">
        <v>124</v>
      </c>
      <c r="G68" s="16">
        <v>3000</v>
      </c>
    </row>
    <row r="69" spans="1:13" x14ac:dyDescent="0.3">
      <c r="A69" t="s">
        <v>185</v>
      </c>
      <c r="B69" t="s">
        <v>205</v>
      </c>
      <c r="C69">
        <v>1089127</v>
      </c>
      <c r="D69" t="s">
        <v>340</v>
      </c>
      <c r="E69" t="s">
        <v>26</v>
      </c>
      <c r="F69" t="s">
        <v>124</v>
      </c>
      <c r="G69" s="16">
        <v>3000</v>
      </c>
    </row>
    <row r="70" spans="1:13" x14ac:dyDescent="0.3">
      <c r="A70" t="s">
        <v>185</v>
      </c>
      <c r="B70" t="s">
        <v>205</v>
      </c>
      <c r="C70">
        <v>1089156</v>
      </c>
      <c r="D70" t="s">
        <v>341</v>
      </c>
      <c r="E70" t="s">
        <v>26</v>
      </c>
      <c r="F70" t="s">
        <v>207</v>
      </c>
      <c r="G70" s="16">
        <v>3000</v>
      </c>
    </row>
    <row r="71" spans="1:13" s="18" customFormat="1" x14ac:dyDescent="0.3">
      <c r="A71" t="s">
        <v>185</v>
      </c>
      <c r="B71" t="s">
        <v>342</v>
      </c>
      <c r="C71">
        <v>1089161</v>
      </c>
      <c r="D71" t="s">
        <v>343</v>
      </c>
      <c r="E71" t="s">
        <v>26</v>
      </c>
      <c r="F71" t="s">
        <v>207</v>
      </c>
      <c r="G71" s="16">
        <v>3000</v>
      </c>
      <c r="H71"/>
      <c r="I71"/>
      <c r="J71"/>
      <c r="K71"/>
      <c r="L71"/>
      <c r="M71"/>
    </row>
    <row r="72" spans="1:13" s="18" customFormat="1" x14ac:dyDescent="0.3">
      <c r="A72" t="s">
        <v>185</v>
      </c>
      <c r="B72" t="s">
        <v>344</v>
      </c>
      <c r="C72">
        <v>1089122</v>
      </c>
      <c r="D72" t="s">
        <v>345</v>
      </c>
      <c r="E72" t="s">
        <v>26</v>
      </c>
      <c r="F72" t="s">
        <v>142</v>
      </c>
      <c r="G72" s="16">
        <v>2000</v>
      </c>
      <c r="H72"/>
      <c r="I72"/>
      <c r="J72"/>
      <c r="K72"/>
      <c r="L72"/>
      <c r="M72"/>
    </row>
    <row r="73" spans="1:13" x14ac:dyDescent="0.3">
      <c r="G73" s="16">
        <f>SUM(G2:G72)</f>
        <v>761600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workbookViewId="0">
      <selection activeCell="C1" sqref="C1:F1048576"/>
    </sheetView>
  </sheetViews>
  <sheetFormatPr defaultRowHeight="14.4" x14ac:dyDescent="0.3"/>
  <cols>
    <col min="1" max="1" width="9.77734375" customWidth="1"/>
    <col min="2" max="2" width="26.5546875" customWidth="1"/>
    <col min="4" max="4" width="24.33203125" customWidth="1"/>
    <col min="5" max="5" width="16.109375" customWidth="1"/>
    <col min="6" max="6" width="26.44140625" customWidth="1"/>
    <col min="7" max="7" width="14.21875" customWidth="1"/>
    <col min="8" max="8" width="10.21875" bestFit="1" customWidth="1"/>
  </cols>
  <sheetData>
    <row r="1" spans="1:10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346</v>
      </c>
      <c r="C2" s="18">
        <v>1089179</v>
      </c>
      <c r="D2" s="18" t="s">
        <v>347</v>
      </c>
      <c r="E2" s="18" t="s">
        <v>26</v>
      </c>
      <c r="F2" s="18" t="s">
        <v>51</v>
      </c>
      <c r="G2" s="27">
        <v>15000</v>
      </c>
    </row>
    <row r="3" spans="1:10" s="18" customFormat="1" x14ac:dyDescent="0.3">
      <c r="A3" s="18" t="s">
        <v>11</v>
      </c>
      <c r="B3" s="18" t="s">
        <v>348</v>
      </c>
      <c r="C3" s="18">
        <v>1089173</v>
      </c>
      <c r="D3" s="18" t="s">
        <v>349</v>
      </c>
      <c r="E3" s="18" t="s">
        <v>350</v>
      </c>
      <c r="F3" s="18" t="s">
        <v>74</v>
      </c>
      <c r="G3" s="27">
        <v>22000</v>
      </c>
    </row>
    <row r="4" spans="1:10" s="18" customFormat="1" x14ac:dyDescent="0.3">
      <c r="A4" s="18" t="s">
        <v>11</v>
      </c>
      <c r="B4" s="18" t="s">
        <v>351</v>
      </c>
      <c r="C4" s="18">
        <v>1089193</v>
      </c>
      <c r="D4" s="18" t="s">
        <v>352</v>
      </c>
      <c r="E4" s="18" t="s">
        <v>26</v>
      </c>
      <c r="F4" s="18" t="s">
        <v>353</v>
      </c>
      <c r="G4" s="27">
        <v>27000</v>
      </c>
    </row>
    <row r="5" spans="1:10" s="18" customFormat="1" x14ac:dyDescent="0.3">
      <c r="A5" s="18" t="s">
        <v>11</v>
      </c>
      <c r="B5" s="18" t="s">
        <v>354</v>
      </c>
      <c r="C5" s="18">
        <v>1089183</v>
      </c>
      <c r="D5" s="18" t="s">
        <v>355</v>
      </c>
      <c r="E5" s="18" t="s">
        <v>26</v>
      </c>
      <c r="F5" s="18" t="s">
        <v>356</v>
      </c>
      <c r="G5" s="27">
        <v>25000</v>
      </c>
    </row>
    <row r="6" spans="1:10" s="18" customFormat="1" x14ac:dyDescent="0.3">
      <c r="A6" s="18" t="s">
        <v>11</v>
      </c>
      <c r="B6" s="18" t="s">
        <v>36</v>
      </c>
      <c r="C6" s="18">
        <v>1089186</v>
      </c>
      <c r="D6" s="18" t="s">
        <v>357</v>
      </c>
      <c r="E6" s="18" t="s">
        <v>201</v>
      </c>
      <c r="F6" s="18" t="s">
        <v>39</v>
      </c>
      <c r="G6" s="27">
        <v>21000</v>
      </c>
      <c r="H6" s="27">
        <f>SUM(G2:G6)</f>
        <v>110000</v>
      </c>
      <c r="I6" s="18">
        <v>9000</v>
      </c>
      <c r="J6" s="28">
        <f>I6/H6</f>
        <v>8.1818181818181818E-2</v>
      </c>
    </row>
    <row r="7" spans="1:10" s="10" customFormat="1" x14ac:dyDescent="0.3">
      <c r="A7" s="10" t="s">
        <v>0</v>
      </c>
      <c r="B7" s="10" t="s">
        <v>358</v>
      </c>
      <c r="C7" s="10">
        <v>1089194</v>
      </c>
      <c r="D7" s="10" t="s">
        <v>359</v>
      </c>
      <c r="E7" s="10" t="s">
        <v>26</v>
      </c>
      <c r="F7" s="10" t="s">
        <v>360</v>
      </c>
      <c r="G7" s="29">
        <v>29000</v>
      </c>
    </row>
    <row r="8" spans="1:10" s="10" customFormat="1" x14ac:dyDescent="0.3">
      <c r="A8" s="10" t="s">
        <v>0</v>
      </c>
      <c r="B8" s="10" t="s">
        <v>361</v>
      </c>
      <c r="C8" s="10">
        <v>1089190</v>
      </c>
      <c r="D8" s="10" t="s">
        <v>362</v>
      </c>
      <c r="E8" s="10" t="s">
        <v>26</v>
      </c>
      <c r="F8" s="10" t="s">
        <v>27</v>
      </c>
      <c r="G8" s="29">
        <v>12000</v>
      </c>
    </row>
    <row r="9" spans="1:10" s="10" customFormat="1" x14ac:dyDescent="0.3">
      <c r="A9" s="10" t="s">
        <v>0</v>
      </c>
      <c r="B9" s="10" t="s">
        <v>363</v>
      </c>
      <c r="C9" s="10">
        <v>1089188</v>
      </c>
      <c r="D9" s="10" t="s">
        <v>364</v>
      </c>
      <c r="E9" s="10" t="s">
        <v>34</v>
      </c>
      <c r="F9" s="10" t="s">
        <v>35</v>
      </c>
      <c r="G9" s="29">
        <v>18000</v>
      </c>
    </row>
    <row r="10" spans="1:10" s="10" customFormat="1" x14ac:dyDescent="0.3">
      <c r="A10" s="10" t="s">
        <v>0</v>
      </c>
      <c r="B10" s="10" t="s">
        <v>114</v>
      </c>
      <c r="C10" s="10">
        <v>1089181</v>
      </c>
      <c r="D10" s="10" t="s">
        <v>365</v>
      </c>
      <c r="E10" s="10" t="s">
        <v>26</v>
      </c>
      <c r="F10" s="10" t="s">
        <v>74</v>
      </c>
      <c r="G10" s="29">
        <v>20000</v>
      </c>
    </row>
    <row r="11" spans="1:10" s="10" customFormat="1" x14ac:dyDescent="0.3">
      <c r="A11" s="10" t="s">
        <v>0</v>
      </c>
      <c r="B11" s="10" t="s">
        <v>363</v>
      </c>
      <c r="C11" s="10">
        <v>1089188</v>
      </c>
      <c r="D11" s="10" t="s">
        <v>364</v>
      </c>
      <c r="E11" s="10" t="s">
        <v>34</v>
      </c>
      <c r="F11" s="10" t="s">
        <v>366</v>
      </c>
      <c r="G11" s="29">
        <v>18000</v>
      </c>
    </row>
    <row r="12" spans="1:10" s="10" customFormat="1" x14ac:dyDescent="0.3">
      <c r="A12" s="10" t="s">
        <v>0</v>
      </c>
      <c r="B12" s="10" t="s">
        <v>367</v>
      </c>
      <c r="C12" s="10">
        <v>1089184</v>
      </c>
      <c r="D12" s="10" t="s">
        <v>368</v>
      </c>
      <c r="E12" s="10" t="s">
        <v>26</v>
      </c>
      <c r="F12" s="10" t="s">
        <v>84</v>
      </c>
      <c r="G12" s="29">
        <v>20000</v>
      </c>
    </row>
    <row r="13" spans="1:10" s="10" customFormat="1" x14ac:dyDescent="0.3">
      <c r="A13" s="10" t="s">
        <v>0</v>
      </c>
      <c r="B13" s="10" t="s">
        <v>369</v>
      </c>
      <c r="C13" s="10">
        <v>1089187</v>
      </c>
      <c r="D13" s="10" t="s">
        <v>370</v>
      </c>
      <c r="E13" s="10" t="s">
        <v>201</v>
      </c>
      <c r="F13" s="10" t="s">
        <v>84</v>
      </c>
      <c r="G13" s="29">
        <v>21000</v>
      </c>
    </row>
    <row r="14" spans="1:10" s="10" customFormat="1" x14ac:dyDescent="0.3">
      <c r="A14" s="10" t="s">
        <v>0</v>
      </c>
      <c r="B14" s="10" t="s">
        <v>271</v>
      </c>
      <c r="C14" s="10">
        <v>1089185</v>
      </c>
      <c r="D14" s="10" t="s">
        <v>128</v>
      </c>
      <c r="E14" s="10" t="s">
        <v>60</v>
      </c>
      <c r="F14" s="10" t="s">
        <v>104</v>
      </c>
      <c r="G14" s="29">
        <v>3000</v>
      </c>
    </row>
    <row r="15" spans="1:10" s="10" customFormat="1" x14ac:dyDescent="0.3">
      <c r="A15" s="10" t="s">
        <v>0</v>
      </c>
      <c r="B15" s="10" t="s">
        <v>371</v>
      </c>
      <c r="C15" s="10">
        <v>1089189</v>
      </c>
      <c r="D15" s="10" t="s">
        <v>372</v>
      </c>
      <c r="E15" s="10" t="s">
        <v>26</v>
      </c>
      <c r="F15" s="10" t="s">
        <v>373</v>
      </c>
      <c r="G15" s="29">
        <v>5000</v>
      </c>
    </row>
    <row r="16" spans="1:10" s="10" customFormat="1" x14ac:dyDescent="0.3">
      <c r="A16" s="10" t="s">
        <v>0</v>
      </c>
      <c r="B16" s="10" t="s">
        <v>371</v>
      </c>
      <c r="C16" s="10">
        <v>1089189</v>
      </c>
      <c r="D16" s="10" t="s">
        <v>372</v>
      </c>
      <c r="E16" s="10" t="s">
        <v>26</v>
      </c>
      <c r="F16" s="10" t="s">
        <v>141</v>
      </c>
      <c r="G16" s="29">
        <v>5000</v>
      </c>
    </row>
    <row r="17" spans="1:29" s="10" customFormat="1" x14ac:dyDescent="0.3">
      <c r="A17" s="10" t="s">
        <v>0</v>
      </c>
      <c r="B17" s="10" t="s">
        <v>117</v>
      </c>
      <c r="C17" s="10">
        <v>1089174</v>
      </c>
      <c r="D17" s="10" t="s">
        <v>374</v>
      </c>
      <c r="E17" s="10" t="s">
        <v>26</v>
      </c>
      <c r="F17" s="10" t="s">
        <v>142</v>
      </c>
      <c r="G17" s="29">
        <v>2000</v>
      </c>
    </row>
    <row r="18" spans="1:29" s="10" customFormat="1" x14ac:dyDescent="0.3">
      <c r="A18" s="10" t="s">
        <v>0</v>
      </c>
      <c r="B18" s="10" t="s">
        <v>375</v>
      </c>
      <c r="C18" s="10">
        <v>1089178</v>
      </c>
      <c r="D18" s="10" t="s">
        <v>376</v>
      </c>
      <c r="E18" s="10" t="s">
        <v>26</v>
      </c>
      <c r="F18" s="10" t="s">
        <v>222</v>
      </c>
      <c r="G18" s="29">
        <v>2500</v>
      </c>
    </row>
    <row r="19" spans="1:29" s="23" customFormat="1" x14ac:dyDescent="0.3">
      <c r="A19" s="10" t="s">
        <v>0</v>
      </c>
      <c r="B19" s="10" t="s">
        <v>377</v>
      </c>
      <c r="C19" s="10">
        <v>1089192</v>
      </c>
      <c r="D19" s="10" t="s">
        <v>378</v>
      </c>
      <c r="E19" s="10" t="s">
        <v>60</v>
      </c>
      <c r="F19" s="10" t="s">
        <v>184</v>
      </c>
      <c r="G19" s="29">
        <v>1800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s="25" customFormat="1" x14ac:dyDescent="0.3">
      <c r="A20" s="23" t="s">
        <v>9</v>
      </c>
      <c r="B20" s="23" t="s">
        <v>379</v>
      </c>
      <c r="C20" s="23">
        <v>1089191</v>
      </c>
      <c r="D20" s="23" t="s">
        <v>380</v>
      </c>
      <c r="E20" s="23" t="s">
        <v>34</v>
      </c>
      <c r="F20" s="23" t="s">
        <v>195</v>
      </c>
      <c r="G20" s="30">
        <v>18000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s="23" customFormat="1" x14ac:dyDescent="0.3">
      <c r="A21" s="23" t="s">
        <v>9</v>
      </c>
      <c r="B21" s="23" t="s">
        <v>381</v>
      </c>
      <c r="C21" s="23">
        <v>1089176</v>
      </c>
      <c r="D21" s="23" t="s">
        <v>382</v>
      </c>
      <c r="E21" s="23" t="s">
        <v>79</v>
      </c>
      <c r="F21" s="23" t="s">
        <v>383</v>
      </c>
      <c r="G21" s="30">
        <v>5000</v>
      </c>
    </row>
    <row r="22" spans="1:29" x14ac:dyDescent="0.3">
      <c r="A22" t="s">
        <v>185</v>
      </c>
      <c r="B22" t="s">
        <v>205</v>
      </c>
      <c r="C22">
        <v>1089175</v>
      </c>
      <c r="D22" t="s">
        <v>384</v>
      </c>
      <c r="E22" t="s">
        <v>26</v>
      </c>
      <c r="F22" t="s">
        <v>71</v>
      </c>
      <c r="G22" s="31">
        <v>6500</v>
      </c>
    </row>
    <row r="23" spans="1:29" x14ac:dyDescent="0.3">
      <c r="A23" s="25" t="s">
        <v>185</v>
      </c>
      <c r="B23" s="25" t="s">
        <v>385</v>
      </c>
      <c r="C23" s="25">
        <v>1089180</v>
      </c>
      <c r="D23" s="25" t="s">
        <v>386</v>
      </c>
      <c r="E23" s="25" t="s">
        <v>26</v>
      </c>
      <c r="F23" s="25" t="s">
        <v>124</v>
      </c>
      <c r="G23" s="32">
        <v>3000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x14ac:dyDescent="0.3">
      <c r="A24" t="s">
        <v>185</v>
      </c>
      <c r="B24" t="s">
        <v>189</v>
      </c>
      <c r="C24">
        <v>1089177</v>
      </c>
      <c r="D24" t="s">
        <v>387</v>
      </c>
      <c r="E24" t="s">
        <v>26</v>
      </c>
      <c r="F24" t="s">
        <v>124</v>
      </c>
      <c r="G24" s="31">
        <v>3000</v>
      </c>
    </row>
    <row r="25" spans="1:29" s="10" customFormat="1" x14ac:dyDescent="0.3">
      <c r="A25" t="s">
        <v>185</v>
      </c>
      <c r="B25" t="s">
        <v>189</v>
      </c>
      <c r="C25">
        <v>1089182</v>
      </c>
      <c r="D25" t="s">
        <v>388</v>
      </c>
      <c r="E25" t="s">
        <v>26</v>
      </c>
      <c r="F25" t="s">
        <v>142</v>
      </c>
      <c r="G25" s="31">
        <v>2000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x14ac:dyDescent="0.3">
      <c r="C26" s="1"/>
      <c r="D26" s="1"/>
      <c r="E26" s="1"/>
      <c r="F26" s="1"/>
      <c r="G26" s="33">
        <f>SUM(G2:G25)</f>
        <v>304800</v>
      </c>
      <c r="H26" s="1"/>
    </row>
    <row r="27" spans="1:29" x14ac:dyDescent="0.3">
      <c r="C27" s="1"/>
      <c r="D27" s="1"/>
      <c r="E27" s="1"/>
      <c r="F27" s="1"/>
      <c r="G27" s="34">
        <f>'[1]30TH'!K103+'[1]31ST'!K114+'[1]1ST APRIL'!K105+'[1]2ND APRIL'!K73+'[1]3RD APRIL'!K26</f>
        <v>4214300</v>
      </c>
      <c r="H27" s="35" t="e">
        <f>#REF!/G27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C1" sqref="C1:F1048576"/>
    </sheetView>
  </sheetViews>
  <sheetFormatPr defaultRowHeight="14.4" x14ac:dyDescent="0.3"/>
  <cols>
    <col min="2" max="2" width="30.77734375" customWidth="1"/>
    <col min="4" max="4" width="15.77734375" customWidth="1"/>
    <col min="5" max="5" width="22.21875" customWidth="1"/>
    <col min="6" max="6" width="27.5546875" customWidth="1"/>
  </cols>
  <sheetData>
    <row r="1" spans="1:10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390</v>
      </c>
      <c r="C2" s="18">
        <v>1089218</v>
      </c>
      <c r="D2" s="18" t="s">
        <v>391</v>
      </c>
      <c r="E2" s="18" t="s">
        <v>79</v>
      </c>
      <c r="F2" s="18" t="s">
        <v>51</v>
      </c>
      <c r="G2" s="18">
        <v>18000</v>
      </c>
    </row>
    <row r="3" spans="1:10" s="18" customFormat="1" x14ac:dyDescent="0.3">
      <c r="A3" s="18" t="s">
        <v>11</v>
      </c>
      <c r="B3" s="18" t="s">
        <v>392</v>
      </c>
      <c r="C3" s="18">
        <v>1089214</v>
      </c>
      <c r="D3" s="18" t="s">
        <v>393</v>
      </c>
      <c r="E3" s="18" t="s">
        <v>60</v>
      </c>
      <c r="F3" s="18" t="s">
        <v>394</v>
      </c>
      <c r="G3" s="18">
        <v>33000</v>
      </c>
    </row>
    <row r="4" spans="1:10" s="18" customFormat="1" x14ac:dyDescent="0.3">
      <c r="A4" s="18" t="s">
        <v>11</v>
      </c>
      <c r="B4" s="18" t="s">
        <v>395</v>
      </c>
      <c r="C4" s="18">
        <v>1089221</v>
      </c>
      <c r="D4" s="18" t="s">
        <v>396</v>
      </c>
      <c r="E4" s="18" t="s">
        <v>397</v>
      </c>
      <c r="F4" s="18" t="s">
        <v>84</v>
      </c>
      <c r="G4" s="18">
        <v>22000</v>
      </c>
    </row>
    <row r="5" spans="1:10" s="18" customFormat="1" x14ac:dyDescent="0.3">
      <c r="A5" s="18" t="s">
        <v>11</v>
      </c>
      <c r="B5" s="18" t="s">
        <v>395</v>
      </c>
      <c r="C5" s="18">
        <v>1089219</v>
      </c>
      <c r="D5" s="18" t="s">
        <v>398</v>
      </c>
      <c r="E5" s="18" t="s">
        <v>34</v>
      </c>
      <c r="F5" s="18" t="s">
        <v>84</v>
      </c>
      <c r="G5" s="18">
        <v>18000</v>
      </c>
    </row>
    <row r="6" spans="1:10" s="18" customFormat="1" x14ac:dyDescent="0.3">
      <c r="A6" s="18" t="s">
        <v>11</v>
      </c>
      <c r="B6" s="18" t="s">
        <v>390</v>
      </c>
      <c r="C6" s="18">
        <v>1089218</v>
      </c>
      <c r="D6" s="18" t="s">
        <v>391</v>
      </c>
      <c r="E6" s="18" t="s">
        <v>79</v>
      </c>
      <c r="F6" s="18" t="s">
        <v>84</v>
      </c>
      <c r="G6" s="18">
        <v>22000</v>
      </c>
    </row>
    <row r="7" spans="1:10" s="18" customFormat="1" x14ac:dyDescent="0.3">
      <c r="A7" s="18" t="s">
        <v>11</v>
      </c>
      <c r="B7" s="18" t="s">
        <v>399</v>
      </c>
      <c r="C7" s="18">
        <v>1089199</v>
      </c>
      <c r="D7" s="18" t="s">
        <v>400</v>
      </c>
      <c r="E7" s="18" t="s">
        <v>26</v>
      </c>
      <c r="F7" s="18" t="s">
        <v>84</v>
      </c>
      <c r="G7" s="18">
        <v>20000</v>
      </c>
    </row>
    <row r="8" spans="1:10" s="18" customFormat="1" x14ac:dyDescent="0.3">
      <c r="A8" s="18" t="s">
        <v>11</v>
      </c>
      <c r="B8" s="18" t="s">
        <v>401</v>
      </c>
      <c r="C8" s="18">
        <v>1089224</v>
      </c>
      <c r="D8" s="18" t="s">
        <v>402</v>
      </c>
      <c r="E8" s="18" t="s">
        <v>64</v>
      </c>
      <c r="F8" s="18" t="s">
        <v>45</v>
      </c>
      <c r="G8" s="18">
        <v>6600</v>
      </c>
      <c r="H8" s="18">
        <f>SUM(G2:G8)</f>
        <v>139600</v>
      </c>
      <c r="I8" s="18" t="e">
        <f>SUM(#REF!)</f>
        <v>#REF!</v>
      </c>
      <c r="J8" s="28" t="e">
        <f>I8/H8</f>
        <v>#REF!</v>
      </c>
    </row>
    <row r="9" spans="1:10" s="10" customFormat="1" x14ac:dyDescent="0.3">
      <c r="A9" s="10" t="s">
        <v>0</v>
      </c>
      <c r="B9" s="10" t="s">
        <v>403</v>
      </c>
      <c r="C9" s="10">
        <v>1089202</v>
      </c>
      <c r="D9" s="10" t="s">
        <v>404</v>
      </c>
      <c r="E9" s="10" t="s">
        <v>26</v>
      </c>
      <c r="F9" s="10" t="s">
        <v>405</v>
      </c>
      <c r="G9" s="10">
        <v>16000</v>
      </c>
    </row>
    <row r="10" spans="1:10" s="10" customFormat="1" x14ac:dyDescent="0.3">
      <c r="A10" s="10" t="s">
        <v>0</v>
      </c>
      <c r="B10" s="10" t="s">
        <v>406</v>
      </c>
      <c r="C10" s="10">
        <v>1089206</v>
      </c>
      <c r="D10" s="10" t="s">
        <v>407</v>
      </c>
      <c r="E10" s="10" t="s">
        <v>26</v>
      </c>
      <c r="F10" s="10" t="s">
        <v>65</v>
      </c>
      <c r="G10" s="10">
        <v>12000</v>
      </c>
    </row>
    <row r="11" spans="1:10" s="10" customFormat="1" x14ac:dyDescent="0.3">
      <c r="A11" s="10" t="s">
        <v>0</v>
      </c>
      <c r="B11" s="10" t="s">
        <v>117</v>
      </c>
      <c r="C11" s="10">
        <v>1089217</v>
      </c>
      <c r="D11" s="10" t="s">
        <v>408</v>
      </c>
      <c r="E11" s="10" t="s">
        <v>26</v>
      </c>
      <c r="F11" s="10" t="s">
        <v>71</v>
      </c>
      <c r="G11" s="10">
        <v>6500</v>
      </c>
    </row>
    <row r="12" spans="1:10" s="10" customFormat="1" x14ac:dyDescent="0.3">
      <c r="A12" s="10" t="s">
        <v>0</v>
      </c>
      <c r="B12" s="10" t="s">
        <v>409</v>
      </c>
      <c r="C12" s="10">
        <v>1089195</v>
      </c>
      <c r="D12" s="10" t="s">
        <v>410</v>
      </c>
      <c r="E12" s="10" t="s">
        <v>411</v>
      </c>
      <c r="F12" s="10" t="s">
        <v>74</v>
      </c>
      <c r="G12" s="10">
        <v>22000</v>
      </c>
    </row>
    <row r="13" spans="1:10" s="10" customFormat="1" x14ac:dyDescent="0.3">
      <c r="A13" s="10" t="s">
        <v>0</v>
      </c>
      <c r="B13" s="10" t="s">
        <v>412</v>
      </c>
      <c r="C13" s="10">
        <v>1089223</v>
      </c>
      <c r="D13" s="10" t="s">
        <v>413</v>
      </c>
      <c r="E13" s="10" t="s">
        <v>26</v>
      </c>
      <c r="F13" s="10" t="s">
        <v>356</v>
      </c>
      <c r="G13" s="10">
        <v>25000</v>
      </c>
    </row>
    <row r="14" spans="1:10" s="10" customFormat="1" x14ac:dyDescent="0.3">
      <c r="A14" s="10" t="s">
        <v>0</v>
      </c>
      <c r="B14" s="10" t="s">
        <v>414</v>
      </c>
      <c r="C14" s="10">
        <v>1089222</v>
      </c>
      <c r="D14" s="10" t="s">
        <v>415</v>
      </c>
      <c r="E14" s="10" t="s">
        <v>79</v>
      </c>
      <c r="F14" s="10" t="s">
        <v>416</v>
      </c>
      <c r="G14" s="10">
        <v>22000</v>
      </c>
    </row>
    <row r="15" spans="1:10" s="10" customFormat="1" x14ac:dyDescent="0.3">
      <c r="A15" s="10" t="s">
        <v>0</v>
      </c>
      <c r="B15" s="10" t="s">
        <v>417</v>
      </c>
      <c r="C15" s="10">
        <v>1089211</v>
      </c>
      <c r="D15" s="10" t="s">
        <v>418</v>
      </c>
      <c r="E15" s="10" t="s">
        <v>34</v>
      </c>
      <c r="F15" s="10" t="s">
        <v>84</v>
      </c>
      <c r="G15" s="10">
        <v>18000</v>
      </c>
    </row>
    <row r="16" spans="1:10" s="10" customFormat="1" x14ac:dyDescent="0.3">
      <c r="A16" s="10" t="s">
        <v>0</v>
      </c>
      <c r="B16" s="10" t="s">
        <v>283</v>
      </c>
      <c r="C16" s="10">
        <v>1089204</v>
      </c>
      <c r="D16" s="10" t="s">
        <v>419</v>
      </c>
      <c r="E16" s="10" t="s">
        <v>26</v>
      </c>
      <c r="F16" s="10" t="s">
        <v>110</v>
      </c>
      <c r="G16" s="10">
        <v>6000</v>
      </c>
    </row>
    <row r="17" spans="1:7" s="10" customFormat="1" x14ac:dyDescent="0.3">
      <c r="A17" s="10" t="s">
        <v>0</v>
      </c>
      <c r="B17" s="10" t="s">
        <v>420</v>
      </c>
      <c r="C17" s="10">
        <v>1089220</v>
      </c>
      <c r="D17" s="10" t="s">
        <v>421</v>
      </c>
      <c r="E17" s="10" t="s">
        <v>26</v>
      </c>
      <c r="F17" s="10" t="s">
        <v>229</v>
      </c>
      <c r="G17" s="10">
        <v>2500</v>
      </c>
    </row>
    <row r="18" spans="1:7" s="23" customFormat="1" x14ac:dyDescent="0.3">
      <c r="A18" s="23" t="s">
        <v>9</v>
      </c>
      <c r="B18" s="23" t="s">
        <v>422</v>
      </c>
      <c r="C18" s="23">
        <v>1089201</v>
      </c>
      <c r="D18" s="23" t="s">
        <v>423</v>
      </c>
      <c r="E18" s="23" t="s">
        <v>26</v>
      </c>
      <c r="F18" s="23" t="s">
        <v>51</v>
      </c>
      <c r="G18" s="23">
        <v>15000</v>
      </c>
    </row>
    <row r="19" spans="1:7" s="23" customFormat="1" x14ac:dyDescent="0.3">
      <c r="A19" s="23" t="s">
        <v>9</v>
      </c>
      <c r="B19" s="23" t="s">
        <v>424</v>
      </c>
      <c r="C19" s="23">
        <v>1089216</v>
      </c>
      <c r="D19" s="23" t="s">
        <v>425</v>
      </c>
      <c r="E19" s="23" t="s">
        <v>160</v>
      </c>
      <c r="F19" s="23" t="s">
        <v>65</v>
      </c>
      <c r="G19" s="23">
        <v>8000</v>
      </c>
    </row>
    <row r="20" spans="1:7" s="23" customFormat="1" x14ac:dyDescent="0.3">
      <c r="A20" s="23" t="s">
        <v>9</v>
      </c>
      <c r="B20" s="23" t="s">
        <v>426</v>
      </c>
      <c r="C20" s="23">
        <v>1089213</v>
      </c>
      <c r="D20" s="23" t="s">
        <v>429</v>
      </c>
      <c r="E20" s="23" t="s">
        <v>26</v>
      </c>
      <c r="F20" s="23" t="s">
        <v>65</v>
      </c>
      <c r="G20" s="23">
        <v>12000</v>
      </c>
    </row>
    <row r="21" spans="1:7" s="23" customFormat="1" x14ac:dyDescent="0.3">
      <c r="A21" s="23" t="s">
        <v>9</v>
      </c>
      <c r="B21" s="23" t="s">
        <v>430</v>
      </c>
      <c r="C21" s="23">
        <v>1089196</v>
      </c>
      <c r="D21" s="23" t="s">
        <v>431</v>
      </c>
      <c r="E21" s="23" t="s">
        <v>26</v>
      </c>
      <c r="F21" s="23" t="s">
        <v>71</v>
      </c>
      <c r="G21" s="23">
        <v>6500</v>
      </c>
    </row>
    <row r="22" spans="1:7" s="23" customFormat="1" x14ac:dyDescent="0.3">
      <c r="A22" s="23" t="s">
        <v>9</v>
      </c>
      <c r="B22" s="23" t="s">
        <v>432</v>
      </c>
      <c r="C22" s="23">
        <v>1089197</v>
      </c>
      <c r="D22" s="23" t="s">
        <v>433</v>
      </c>
      <c r="E22" s="23" t="s">
        <v>160</v>
      </c>
      <c r="F22" s="23" t="s">
        <v>35</v>
      </c>
      <c r="G22" s="23">
        <v>18000</v>
      </c>
    </row>
    <row r="23" spans="1:7" s="23" customFormat="1" x14ac:dyDescent="0.3">
      <c r="A23" s="23" t="s">
        <v>9</v>
      </c>
      <c r="B23" s="23" t="s">
        <v>434</v>
      </c>
      <c r="C23" s="23">
        <v>1089208</v>
      </c>
      <c r="D23" s="23" t="s">
        <v>435</v>
      </c>
      <c r="E23" s="23" t="s">
        <v>201</v>
      </c>
      <c r="F23" s="23" t="s">
        <v>316</v>
      </c>
      <c r="G23" s="23">
        <v>21000</v>
      </c>
    </row>
    <row r="24" spans="1:7" s="23" customFormat="1" x14ac:dyDescent="0.3">
      <c r="A24" s="23" t="s">
        <v>9</v>
      </c>
      <c r="B24" s="23" t="s">
        <v>434</v>
      </c>
      <c r="C24" s="23">
        <v>1089208</v>
      </c>
      <c r="D24" s="23" t="s">
        <v>435</v>
      </c>
      <c r="E24" s="23" t="s">
        <v>201</v>
      </c>
      <c r="F24" s="23" t="s">
        <v>84</v>
      </c>
      <c r="G24" s="23">
        <v>21000</v>
      </c>
    </row>
    <row r="25" spans="1:7" s="23" customFormat="1" x14ac:dyDescent="0.3">
      <c r="A25" s="23" t="s">
        <v>9</v>
      </c>
      <c r="B25" s="23" t="s">
        <v>436</v>
      </c>
      <c r="C25" s="23">
        <v>1089210</v>
      </c>
      <c r="D25" s="23" t="s">
        <v>437</v>
      </c>
      <c r="E25" s="23" t="s">
        <v>26</v>
      </c>
      <c r="F25" s="23" t="s">
        <v>119</v>
      </c>
      <c r="G25" s="23">
        <v>3000</v>
      </c>
    </row>
    <row r="26" spans="1:7" s="23" customFormat="1" x14ac:dyDescent="0.3">
      <c r="A26" s="23" t="s">
        <v>9</v>
      </c>
      <c r="B26" s="23" t="s">
        <v>438</v>
      </c>
      <c r="C26" s="23">
        <v>1089225</v>
      </c>
      <c r="D26" s="23" t="s">
        <v>439</v>
      </c>
      <c r="E26" s="23" t="s">
        <v>26</v>
      </c>
      <c r="F26" s="23" t="s">
        <v>292</v>
      </c>
      <c r="G26" s="23">
        <v>3000</v>
      </c>
    </row>
    <row r="27" spans="1:7" s="23" customFormat="1" x14ac:dyDescent="0.3">
      <c r="A27" s="23" t="s">
        <v>9</v>
      </c>
      <c r="B27" s="23" t="s">
        <v>440</v>
      </c>
      <c r="C27" s="23">
        <v>1089209</v>
      </c>
      <c r="D27" s="23" t="s">
        <v>441</v>
      </c>
      <c r="E27" s="23" t="s">
        <v>26</v>
      </c>
      <c r="F27" s="23" t="s">
        <v>184</v>
      </c>
      <c r="G27" s="23">
        <v>2500</v>
      </c>
    </row>
    <row r="28" spans="1:7" x14ac:dyDescent="0.3">
      <c r="A28" t="s">
        <v>185</v>
      </c>
      <c r="B28" t="s">
        <v>205</v>
      </c>
      <c r="C28">
        <v>1089212</v>
      </c>
      <c r="D28" t="s">
        <v>442</v>
      </c>
      <c r="E28" t="s">
        <v>26</v>
      </c>
      <c r="F28" t="s">
        <v>71</v>
      </c>
      <c r="G28">
        <v>6500</v>
      </c>
    </row>
    <row r="29" spans="1:7" x14ac:dyDescent="0.3">
      <c r="A29" t="s">
        <v>185</v>
      </c>
      <c r="B29" t="s">
        <v>330</v>
      </c>
      <c r="C29">
        <v>1089200</v>
      </c>
      <c r="D29" t="s">
        <v>443</v>
      </c>
      <c r="E29" t="s">
        <v>26</v>
      </c>
      <c r="F29" t="s">
        <v>71</v>
      </c>
      <c r="G29">
        <v>6500</v>
      </c>
    </row>
    <row r="30" spans="1:7" x14ac:dyDescent="0.3">
      <c r="A30" t="s">
        <v>185</v>
      </c>
      <c r="B30" t="s">
        <v>342</v>
      </c>
      <c r="C30">
        <v>1089198</v>
      </c>
      <c r="D30" t="s">
        <v>444</v>
      </c>
      <c r="E30" t="s">
        <v>26</v>
      </c>
      <c r="F30" t="s">
        <v>71</v>
      </c>
      <c r="G30">
        <v>6500</v>
      </c>
    </row>
    <row r="31" spans="1:7" x14ac:dyDescent="0.3">
      <c r="A31" t="s">
        <v>185</v>
      </c>
      <c r="B31" t="s">
        <v>344</v>
      </c>
      <c r="C31">
        <v>1089205</v>
      </c>
      <c r="D31" t="s">
        <v>445</v>
      </c>
      <c r="E31" t="s">
        <v>26</v>
      </c>
      <c r="F31" t="s">
        <v>124</v>
      </c>
      <c r="G31">
        <v>3000</v>
      </c>
    </row>
    <row r="32" spans="1:7" x14ac:dyDescent="0.3">
      <c r="C32">
        <v>1089215</v>
      </c>
      <c r="D32" t="s">
        <v>446</v>
      </c>
      <c r="E32" t="s">
        <v>26</v>
      </c>
      <c r="F32" t="s">
        <v>280</v>
      </c>
      <c r="G32">
        <v>38000</v>
      </c>
    </row>
    <row r="33" spans="7:7" x14ac:dyDescent="0.3">
      <c r="G33">
        <f>SUM(G2:G32)</f>
        <v>440100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workbookViewId="0">
      <selection activeCell="I10" sqref="I10"/>
    </sheetView>
  </sheetViews>
  <sheetFormatPr defaultRowHeight="14.4" x14ac:dyDescent="0.3"/>
  <cols>
    <col min="1" max="1" width="15.88671875" customWidth="1"/>
    <col min="2" max="2" width="15.33203125" customWidth="1"/>
    <col min="3" max="3" width="18.77734375" customWidth="1"/>
    <col min="5" max="5" width="8.77734375" style="2"/>
  </cols>
  <sheetData>
    <row r="2" spans="1:5" x14ac:dyDescent="0.3">
      <c r="A2" s="1" t="s">
        <v>12</v>
      </c>
    </row>
    <row r="4" spans="1:5" x14ac:dyDescent="0.3">
      <c r="A4" t="s">
        <v>0</v>
      </c>
      <c r="B4" t="s">
        <v>1</v>
      </c>
      <c r="C4" t="s">
        <v>2</v>
      </c>
      <c r="D4" t="s">
        <v>3</v>
      </c>
      <c r="E4" s="2" t="s">
        <v>4</v>
      </c>
    </row>
    <row r="5" spans="1:5" x14ac:dyDescent="0.3">
      <c r="A5" t="s">
        <v>5</v>
      </c>
      <c r="B5">
        <v>14</v>
      </c>
      <c r="C5">
        <v>49</v>
      </c>
      <c r="D5">
        <v>29</v>
      </c>
      <c r="E5" s="2">
        <f>D5/C5</f>
        <v>0.59183673469387754</v>
      </c>
    </row>
    <row r="6" spans="1:5" x14ac:dyDescent="0.3">
      <c r="A6" t="s">
        <v>6</v>
      </c>
      <c r="B6">
        <v>13</v>
      </c>
      <c r="C6">
        <v>46</v>
      </c>
      <c r="D6">
        <v>19</v>
      </c>
      <c r="E6" s="2">
        <f>D6/C6</f>
        <v>0.41304347826086957</v>
      </c>
    </row>
    <row r="7" spans="1:5" x14ac:dyDescent="0.3">
      <c r="A7" t="s">
        <v>7</v>
      </c>
      <c r="B7">
        <v>15</v>
      </c>
      <c r="C7">
        <v>53</v>
      </c>
      <c r="D7">
        <v>29</v>
      </c>
      <c r="E7" s="2">
        <f>D7/C7</f>
        <v>0.54716981132075471</v>
      </c>
    </row>
    <row r="8" spans="1:5" x14ac:dyDescent="0.3">
      <c r="A8" t="s">
        <v>8</v>
      </c>
      <c r="B8">
        <v>18</v>
      </c>
      <c r="C8">
        <v>63</v>
      </c>
      <c r="D8">
        <v>33</v>
      </c>
      <c r="E8" s="2">
        <f>D8/C8</f>
        <v>0.52380952380952384</v>
      </c>
    </row>
    <row r="10" spans="1:5" x14ac:dyDescent="0.3">
      <c r="A10" t="s">
        <v>9</v>
      </c>
      <c r="B10" t="s">
        <v>10</v>
      </c>
      <c r="D10" t="s">
        <v>3</v>
      </c>
      <c r="E10" s="2" t="s">
        <v>4</v>
      </c>
    </row>
    <row r="11" spans="1:5" x14ac:dyDescent="0.3">
      <c r="A11" t="s">
        <v>5</v>
      </c>
      <c r="B11">
        <v>7</v>
      </c>
      <c r="C11">
        <v>25</v>
      </c>
      <c r="D11">
        <v>17</v>
      </c>
      <c r="E11" s="2">
        <f>D11/C11</f>
        <v>0.68</v>
      </c>
    </row>
    <row r="12" spans="1:5" x14ac:dyDescent="0.3">
      <c r="A12" t="s">
        <v>6</v>
      </c>
      <c r="B12">
        <v>6</v>
      </c>
      <c r="C12">
        <v>21</v>
      </c>
      <c r="D12">
        <v>6</v>
      </c>
      <c r="E12" s="2">
        <f>D12/C12</f>
        <v>0.2857142857142857</v>
      </c>
    </row>
    <row r="13" spans="1:5" x14ac:dyDescent="0.3">
      <c r="A13" t="s">
        <v>7</v>
      </c>
      <c r="B13">
        <v>5</v>
      </c>
      <c r="C13">
        <v>18</v>
      </c>
      <c r="D13">
        <v>13</v>
      </c>
      <c r="E13" s="2">
        <f>D13/C13</f>
        <v>0.72222222222222221</v>
      </c>
    </row>
    <row r="14" spans="1:5" x14ac:dyDescent="0.3">
      <c r="A14" t="s">
        <v>8</v>
      </c>
      <c r="B14">
        <v>7</v>
      </c>
      <c r="C14">
        <v>25</v>
      </c>
      <c r="D14">
        <v>7</v>
      </c>
      <c r="E14" s="2">
        <f>D14/C14</f>
        <v>0.28000000000000003</v>
      </c>
    </row>
    <row r="17" spans="1:5" x14ac:dyDescent="0.3">
      <c r="A17" t="s">
        <v>11</v>
      </c>
      <c r="B17" t="s">
        <v>10</v>
      </c>
      <c r="D17" t="s">
        <v>3</v>
      </c>
      <c r="E17" s="2" t="s">
        <v>4</v>
      </c>
    </row>
    <row r="18" spans="1:5" x14ac:dyDescent="0.3">
      <c r="A18" t="s">
        <v>5</v>
      </c>
      <c r="B18">
        <v>6</v>
      </c>
      <c r="C18">
        <v>21</v>
      </c>
      <c r="D18">
        <v>16</v>
      </c>
      <c r="E18" s="2">
        <f>D18/C18</f>
        <v>0.76190476190476186</v>
      </c>
    </row>
    <row r="19" spans="1:5" x14ac:dyDescent="0.3">
      <c r="A19" t="s">
        <v>6</v>
      </c>
      <c r="B19">
        <v>5</v>
      </c>
      <c r="C19">
        <v>14</v>
      </c>
      <c r="D19">
        <v>4</v>
      </c>
      <c r="E19" s="2">
        <f>D19/C19</f>
        <v>0.2857142857142857</v>
      </c>
    </row>
    <row r="20" spans="1:5" x14ac:dyDescent="0.3">
      <c r="A20" t="s">
        <v>7</v>
      </c>
      <c r="B20">
        <v>5</v>
      </c>
      <c r="C20">
        <v>14</v>
      </c>
      <c r="D20">
        <v>3</v>
      </c>
      <c r="E20" s="2">
        <f>D20/C20</f>
        <v>0.21428571428571427</v>
      </c>
    </row>
    <row r="21" spans="1:5" x14ac:dyDescent="0.3">
      <c r="A21" t="s">
        <v>8</v>
      </c>
      <c r="B21">
        <v>5</v>
      </c>
      <c r="C21">
        <v>14</v>
      </c>
      <c r="D21">
        <v>5</v>
      </c>
      <c r="E21" s="2">
        <f>D21/C21</f>
        <v>0.35714285714285715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H20" sqref="H20"/>
    </sheetView>
  </sheetViews>
  <sheetFormatPr defaultRowHeight="14.4" x14ac:dyDescent="0.3"/>
  <cols>
    <col min="2" max="2" width="30.77734375" customWidth="1"/>
    <col min="3" max="3" width="9.44140625" customWidth="1"/>
    <col min="4" max="4" width="14.77734375" customWidth="1"/>
    <col min="5" max="5" width="17.21875" customWidth="1"/>
    <col min="6" max="6" width="16.21875" customWidth="1"/>
    <col min="7" max="7" width="10.21875" bestFit="1" customWidth="1"/>
  </cols>
  <sheetData>
    <row r="1" spans="1:10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447</v>
      </c>
      <c r="C2" s="18">
        <v>1089227</v>
      </c>
      <c r="D2" s="18" t="s">
        <v>448</v>
      </c>
      <c r="E2" s="18" t="s">
        <v>26</v>
      </c>
      <c r="F2" s="18" t="s">
        <v>71</v>
      </c>
      <c r="G2" s="27">
        <v>6500</v>
      </c>
    </row>
    <row r="3" spans="1:10" s="18" customFormat="1" x14ac:dyDescent="0.3">
      <c r="A3" s="18" t="s">
        <v>11</v>
      </c>
      <c r="B3" s="18" t="s">
        <v>449</v>
      </c>
      <c r="C3" s="18">
        <v>1089228</v>
      </c>
      <c r="D3" s="18" t="s">
        <v>450</v>
      </c>
      <c r="E3" s="18" t="s">
        <v>26</v>
      </c>
      <c r="F3" s="18" t="s">
        <v>39</v>
      </c>
      <c r="G3" s="27">
        <v>20000</v>
      </c>
    </row>
    <row r="4" spans="1:10" s="18" customFormat="1" x14ac:dyDescent="0.3">
      <c r="A4" s="18" t="s">
        <v>11</v>
      </c>
      <c r="B4" s="18" t="s">
        <v>451</v>
      </c>
      <c r="C4" s="18">
        <v>1089230</v>
      </c>
      <c r="D4" s="18" t="s">
        <v>452</v>
      </c>
      <c r="E4" s="18" t="s">
        <v>34</v>
      </c>
      <c r="F4" s="18" t="s">
        <v>84</v>
      </c>
      <c r="G4" s="27">
        <v>18000</v>
      </c>
    </row>
    <row r="5" spans="1:10" s="18" customFormat="1" x14ac:dyDescent="0.3">
      <c r="A5" s="18" t="s">
        <v>11</v>
      </c>
      <c r="B5" s="18" t="s">
        <v>453</v>
      </c>
      <c r="C5" s="18">
        <v>1089240</v>
      </c>
      <c r="D5" s="18" t="s">
        <v>454</v>
      </c>
      <c r="E5" s="18" t="s">
        <v>34</v>
      </c>
      <c r="F5" s="18" t="s">
        <v>195</v>
      </c>
      <c r="G5" s="27">
        <v>18000</v>
      </c>
      <c r="H5" s="27">
        <f>SUM(G2:G5)</f>
        <v>62500</v>
      </c>
      <c r="I5" s="18">
        <v>6000</v>
      </c>
      <c r="J5" s="28">
        <f>I5/H5</f>
        <v>9.6000000000000002E-2</v>
      </c>
    </row>
    <row r="6" spans="1:10" s="10" customFormat="1" x14ac:dyDescent="0.3">
      <c r="A6" s="10" t="s">
        <v>0</v>
      </c>
      <c r="B6" s="10" t="s">
        <v>455</v>
      </c>
      <c r="C6" s="10">
        <v>1089234</v>
      </c>
      <c r="D6" s="10" t="s">
        <v>456</v>
      </c>
      <c r="E6" s="10" t="s">
        <v>26</v>
      </c>
      <c r="F6" s="10" t="s">
        <v>27</v>
      </c>
      <c r="G6" s="29">
        <v>12000</v>
      </c>
    </row>
    <row r="7" spans="1:10" s="10" customFormat="1" x14ac:dyDescent="0.3">
      <c r="A7" s="10" t="s">
        <v>0</v>
      </c>
      <c r="B7" s="10" t="s">
        <v>457</v>
      </c>
      <c r="C7" s="10">
        <v>1089229</v>
      </c>
      <c r="D7" s="10" t="s">
        <v>458</v>
      </c>
      <c r="E7" s="10" t="s">
        <v>26</v>
      </c>
      <c r="F7" s="10" t="s">
        <v>74</v>
      </c>
      <c r="G7" s="29">
        <v>20000</v>
      </c>
    </row>
    <row r="8" spans="1:10" s="10" customFormat="1" x14ac:dyDescent="0.3">
      <c r="A8" s="10" t="s">
        <v>0</v>
      </c>
      <c r="B8" s="10" t="s">
        <v>289</v>
      </c>
      <c r="C8" s="10">
        <v>1089231</v>
      </c>
      <c r="D8" s="10" t="s">
        <v>459</v>
      </c>
      <c r="E8" s="10" t="s">
        <v>460</v>
      </c>
      <c r="F8" s="10" t="s">
        <v>45</v>
      </c>
      <c r="G8" s="29">
        <v>25000</v>
      </c>
    </row>
    <row r="9" spans="1:10" s="10" customFormat="1" x14ac:dyDescent="0.3">
      <c r="A9" s="10" t="s">
        <v>0</v>
      </c>
      <c r="B9" s="10" t="s">
        <v>461</v>
      </c>
      <c r="C9" s="10">
        <v>1089245</v>
      </c>
      <c r="D9" s="10" t="s">
        <v>462</v>
      </c>
      <c r="E9" s="10" t="s">
        <v>26</v>
      </c>
      <c r="F9" s="10" t="s">
        <v>124</v>
      </c>
      <c r="G9" s="29">
        <v>3000</v>
      </c>
    </row>
    <row r="10" spans="1:10" s="23" customFormat="1" x14ac:dyDescent="0.3">
      <c r="A10" s="23" t="s">
        <v>9</v>
      </c>
      <c r="B10" s="23" t="s">
        <v>463</v>
      </c>
      <c r="C10" s="23">
        <v>1089243</v>
      </c>
      <c r="D10" s="23" t="s">
        <v>464</v>
      </c>
      <c r="E10" s="23" t="s">
        <v>26</v>
      </c>
      <c r="F10" s="23" t="s">
        <v>465</v>
      </c>
      <c r="G10" s="30">
        <v>14000</v>
      </c>
    </row>
    <row r="11" spans="1:10" s="23" customFormat="1" x14ac:dyDescent="0.3">
      <c r="A11" s="23" t="s">
        <v>9</v>
      </c>
      <c r="B11" s="23" t="s">
        <v>424</v>
      </c>
      <c r="C11" s="23">
        <v>1089236</v>
      </c>
      <c r="D11" s="23" t="s">
        <v>466</v>
      </c>
      <c r="E11" s="23" t="s">
        <v>26</v>
      </c>
      <c r="F11" s="23" t="s">
        <v>65</v>
      </c>
      <c r="G11" s="30">
        <v>12000</v>
      </c>
    </row>
    <row r="12" spans="1:10" s="23" customFormat="1" x14ac:dyDescent="0.3">
      <c r="A12" s="23" t="s">
        <v>9</v>
      </c>
      <c r="B12" s="23" t="s">
        <v>467</v>
      </c>
      <c r="C12" s="23">
        <v>1089226</v>
      </c>
      <c r="D12" s="23" t="s">
        <v>468</v>
      </c>
      <c r="E12" s="23" t="s">
        <v>64</v>
      </c>
      <c r="F12" s="23" t="s">
        <v>65</v>
      </c>
      <c r="G12" s="30">
        <v>8000</v>
      </c>
    </row>
    <row r="13" spans="1:10" s="23" customFormat="1" x14ac:dyDescent="0.3">
      <c r="A13" s="23" t="s">
        <v>9</v>
      </c>
      <c r="B13" s="23" t="s">
        <v>469</v>
      </c>
      <c r="C13" s="23">
        <v>1089239</v>
      </c>
      <c r="D13" s="23" t="s">
        <v>470</v>
      </c>
      <c r="E13" s="23" t="s">
        <v>26</v>
      </c>
      <c r="F13" s="23" t="s">
        <v>84</v>
      </c>
      <c r="G13" s="30">
        <v>20000</v>
      </c>
    </row>
    <row r="14" spans="1:10" s="23" customFormat="1" x14ac:dyDescent="0.3">
      <c r="A14" s="23" t="s">
        <v>9</v>
      </c>
      <c r="B14" s="23" t="s">
        <v>471</v>
      </c>
      <c r="C14" s="23">
        <v>1089241</v>
      </c>
      <c r="D14" s="23" t="s">
        <v>472</v>
      </c>
      <c r="E14" s="23" t="s">
        <v>34</v>
      </c>
      <c r="F14" s="23" t="s">
        <v>45</v>
      </c>
      <c r="G14" s="30">
        <v>20000</v>
      </c>
    </row>
    <row r="15" spans="1:10" s="23" customFormat="1" x14ac:dyDescent="0.3">
      <c r="A15" s="23" t="s">
        <v>9</v>
      </c>
      <c r="B15" s="23" t="s">
        <v>432</v>
      </c>
      <c r="C15" s="23">
        <v>1089242</v>
      </c>
      <c r="D15" s="23" t="s">
        <v>473</v>
      </c>
      <c r="E15" s="23" t="s">
        <v>26</v>
      </c>
      <c r="F15" s="23" t="s">
        <v>337</v>
      </c>
      <c r="G15" s="30">
        <v>4000</v>
      </c>
    </row>
    <row r="16" spans="1:10" s="23" customFormat="1" x14ac:dyDescent="0.3">
      <c r="A16" s="23" t="s">
        <v>9</v>
      </c>
      <c r="B16" s="23" t="s">
        <v>474</v>
      </c>
      <c r="C16" s="23">
        <v>1089233</v>
      </c>
      <c r="D16" s="23" t="s">
        <v>475</v>
      </c>
      <c r="E16" s="23" t="s">
        <v>26</v>
      </c>
      <c r="F16" s="23" t="s">
        <v>124</v>
      </c>
      <c r="G16" s="30">
        <v>3000</v>
      </c>
    </row>
    <row r="17" spans="1:7" x14ac:dyDescent="0.3">
      <c r="A17" t="s">
        <v>185</v>
      </c>
      <c r="B17" t="s">
        <v>476</v>
      </c>
      <c r="C17">
        <v>1089235</v>
      </c>
      <c r="D17" t="s">
        <v>477</v>
      </c>
      <c r="E17" t="s">
        <v>26</v>
      </c>
      <c r="F17" t="s">
        <v>71</v>
      </c>
      <c r="G17" s="31">
        <v>6500</v>
      </c>
    </row>
    <row r="18" spans="1:7" x14ac:dyDescent="0.3">
      <c r="A18" t="s">
        <v>185</v>
      </c>
      <c r="B18" t="s">
        <v>189</v>
      </c>
      <c r="C18">
        <v>1089232</v>
      </c>
      <c r="D18" t="s">
        <v>478</v>
      </c>
      <c r="E18" t="s">
        <v>26</v>
      </c>
      <c r="F18" t="s">
        <v>142</v>
      </c>
      <c r="G18" s="31">
        <v>2000</v>
      </c>
    </row>
    <row r="19" spans="1:7" x14ac:dyDescent="0.3">
      <c r="G19" s="31">
        <f>SUM(G2:G18)</f>
        <v>212000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activeCell="F19" sqref="F19"/>
    </sheetView>
  </sheetViews>
  <sheetFormatPr defaultColWidth="9.21875" defaultRowHeight="14.4" x14ac:dyDescent="0.3"/>
  <cols>
    <col min="1" max="1" width="9.21875" style="41"/>
    <col min="2" max="2" width="21.77734375" style="41" customWidth="1"/>
    <col min="3" max="3" width="9.21875" style="41"/>
    <col min="4" max="4" width="20" style="41" customWidth="1"/>
    <col min="5" max="5" width="22.77734375" style="41" customWidth="1"/>
    <col min="6" max="6" width="26.88671875" style="41" customWidth="1"/>
    <col min="7" max="7" width="10.21875" style="41" bestFit="1" customWidth="1"/>
    <col min="8" max="16384" width="9.21875" style="41"/>
  </cols>
  <sheetData>
    <row r="1" spans="1:10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36" customFormat="1" ht="13.8" x14ac:dyDescent="0.3">
      <c r="A2" s="36" t="s">
        <v>11</v>
      </c>
      <c r="B2" s="36" t="s">
        <v>36</v>
      </c>
      <c r="C2" s="36">
        <v>1089317</v>
      </c>
      <c r="D2" s="36" t="s">
        <v>479</v>
      </c>
      <c r="E2" s="36" t="s">
        <v>60</v>
      </c>
      <c r="F2" s="36" t="s">
        <v>35</v>
      </c>
      <c r="G2" s="37">
        <v>18000</v>
      </c>
    </row>
    <row r="3" spans="1:10" s="36" customFormat="1" ht="13.8" x14ac:dyDescent="0.3">
      <c r="A3" s="36" t="s">
        <v>11</v>
      </c>
      <c r="B3" s="36" t="s">
        <v>480</v>
      </c>
      <c r="C3" s="36">
        <v>1089321</v>
      </c>
      <c r="D3" s="36" t="s">
        <v>481</v>
      </c>
      <c r="E3" s="36" t="s">
        <v>482</v>
      </c>
      <c r="F3" s="36" t="s">
        <v>483</v>
      </c>
      <c r="G3" s="37">
        <v>25000</v>
      </c>
    </row>
    <row r="4" spans="1:10" s="36" customFormat="1" ht="13.8" x14ac:dyDescent="0.3">
      <c r="A4" s="36" t="s">
        <v>11</v>
      </c>
      <c r="B4" s="36" t="s">
        <v>484</v>
      </c>
      <c r="C4" s="36">
        <v>1089249</v>
      </c>
      <c r="D4" s="36" t="s">
        <v>485</v>
      </c>
      <c r="E4" s="36" t="s">
        <v>160</v>
      </c>
      <c r="F4" s="36" t="s">
        <v>486</v>
      </c>
      <c r="G4" s="37">
        <v>18000</v>
      </c>
    </row>
    <row r="5" spans="1:10" s="36" customFormat="1" ht="13.8" x14ac:dyDescent="0.3">
      <c r="A5" s="36" t="s">
        <v>11</v>
      </c>
      <c r="B5" s="36" t="s">
        <v>484</v>
      </c>
      <c r="C5" s="36">
        <v>1089249</v>
      </c>
      <c r="D5" s="36" t="s">
        <v>485</v>
      </c>
      <c r="E5" s="36" t="s">
        <v>160</v>
      </c>
      <c r="F5" s="36" t="s">
        <v>39</v>
      </c>
      <c r="G5" s="37">
        <v>18000</v>
      </c>
    </row>
    <row r="6" spans="1:10" s="36" customFormat="1" ht="13.8" x14ac:dyDescent="0.3">
      <c r="A6" s="36" t="s">
        <v>11</v>
      </c>
      <c r="B6" s="36" t="s">
        <v>487</v>
      </c>
      <c r="C6" s="36">
        <v>1089291</v>
      </c>
      <c r="D6" s="36" t="s">
        <v>488</v>
      </c>
      <c r="E6" s="36" t="s">
        <v>64</v>
      </c>
      <c r="F6" s="36" t="s">
        <v>39</v>
      </c>
      <c r="G6" s="37">
        <v>18000</v>
      </c>
    </row>
    <row r="7" spans="1:10" s="36" customFormat="1" ht="13.8" x14ac:dyDescent="0.3">
      <c r="A7" s="36" t="s">
        <v>11</v>
      </c>
      <c r="B7" s="36" t="s">
        <v>489</v>
      </c>
      <c r="C7" s="36">
        <v>1089256</v>
      </c>
      <c r="D7" s="36" t="s">
        <v>490</v>
      </c>
      <c r="E7" s="36" t="s">
        <v>26</v>
      </c>
      <c r="F7" s="36" t="s">
        <v>45</v>
      </c>
      <c r="G7" s="37">
        <v>25000</v>
      </c>
    </row>
    <row r="8" spans="1:10" s="36" customFormat="1" ht="13.8" x14ac:dyDescent="0.3">
      <c r="A8" s="36" t="s">
        <v>11</v>
      </c>
      <c r="B8" s="36" t="s">
        <v>484</v>
      </c>
      <c r="C8" s="36">
        <v>1089300</v>
      </c>
      <c r="D8" s="36" t="s">
        <v>491</v>
      </c>
      <c r="E8" s="36" t="s">
        <v>60</v>
      </c>
      <c r="F8" s="36" t="s">
        <v>195</v>
      </c>
      <c r="G8" s="37">
        <v>18000</v>
      </c>
    </row>
    <row r="9" spans="1:10" s="36" customFormat="1" ht="13.8" x14ac:dyDescent="0.3">
      <c r="A9" s="36" t="s">
        <v>11</v>
      </c>
      <c r="B9" s="36" t="s">
        <v>36</v>
      </c>
      <c r="C9" s="36">
        <v>1089326</v>
      </c>
      <c r="D9" s="36" t="s">
        <v>492</v>
      </c>
      <c r="E9" s="36" t="s">
        <v>26</v>
      </c>
      <c r="F9" s="36" t="s">
        <v>195</v>
      </c>
      <c r="G9" s="37">
        <v>20000</v>
      </c>
    </row>
    <row r="10" spans="1:10" s="36" customFormat="1" ht="13.8" x14ac:dyDescent="0.3">
      <c r="A10" s="36" t="s">
        <v>11</v>
      </c>
      <c r="B10" s="36" t="s">
        <v>487</v>
      </c>
      <c r="C10" s="36">
        <v>1089278</v>
      </c>
      <c r="D10" s="36" t="s">
        <v>493</v>
      </c>
      <c r="E10" s="36" t="s">
        <v>160</v>
      </c>
      <c r="F10" s="36" t="s">
        <v>494</v>
      </c>
      <c r="G10" s="37">
        <v>2500</v>
      </c>
      <c r="H10" s="37">
        <f>SUM(G2:G10)</f>
        <v>162500</v>
      </c>
      <c r="I10" s="36" t="e">
        <f>SUM(#REF!)</f>
        <v>#REF!</v>
      </c>
      <c r="J10" s="38" t="e">
        <f>I10/H10</f>
        <v>#REF!</v>
      </c>
    </row>
    <row r="11" spans="1:10" s="9" customFormat="1" x14ac:dyDescent="0.3">
      <c r="A11" s="9" t="s">
        <v>0</v>
      </c>
      <c r="B11" s="9" t="s">
        <v>271</v>
      </c>
      <c r="C11" s="9">
        <v>1089277</v>
      </c>
      <c r="D11" s="9" t="s">
        <v>495</v>
      </c>
      <c r="E11" s="9" t="s">
        <v>482</v>
      </c>
      <c r="F11" s="9" t="s">
        <v>48</v>
      </c>
      <c r="G11" s="39">
        <v>2500</v>
      </c>
    </row>
    <row r="12" spans="1:10" s="9" customFormat="1" x14ac:dyDescent="0.3">
      <c r="A12" s="9" t="s">
        <v>0</v>
      </c>
      <c r="B12" s="9" t="s">
        <v>77</v>
      </c>
      <c r="C12" s="9">
        <v>1089255</v>
      </c>
      <c r="D12" s="9" t="s">
        <v>496</v>
      </c>
      <c r="E12" s="9" t="s">
        <v>26</v>
      </c>
      <c r="F12" s="9" t="s">
        <v>465</v>
      </c>
      <c r="G12" s="39">
        <v>14000</v>
      </c>
    </row>
    <row r="13" spans="1:10" s="9" customFormat="1" x14ac:dyDescent="0.3">
      <c r="A13" s="9" t="s">
        <v>0</v>
      </c>
      <c r="B13" s="9" t="s">
        <v>302</v>
      </c>
      <c r="C13" s="9">
        <v>1089281</v>
      </c>
      <c r="D13" s="9" t="s">
        <v>303</v>
      </c>
      <c r="E13" s="9" t="s">
        <v>26</v>
      </c>
      <c r="F13" s="9" t="s">
        <v>465</v>
      </c>
      <c r="G13" s="39">
        <v>14000</v>
      </c>
    </row>
    <row r="14" spans="1:10" s="9" customFormat="1" x14ac:dyDescent="0.3">
      <c r="A14" s="9" t="s">
        <v>0</v>
      </c>
      <c r="B14" s="9" t="s">
        <v>117</v>
      </c>
      <c r="C14" s="9">
        <v>1089270</v>
      </c>
      <c r="D14" s="9" t="s">
        <v>497</v>
      </c>
      <c r="E14" s="9" t="s">
        <v>26</v>
      </c>
      <c r="F14" s="9" t="s">
        <v>498</v>
      </c>
      <c r="G14" s="39">
        <v>22000</v>
      </c>
    </row>
    <row r="15" spans="1:10" s="9" customFormat="1" x14ac:dyDescent="0.3">
      <c r="A15" s="9" t="s">
        <v>0</v>
      </c>
      <c r="B15" s="9" t="s">
        <v>77</v>
      </c>
      <c r="C15" s="9">
        <v>1089261</v>
      </c>
      <c r="D15" s="9" t="s">
        <v>496</v>
      </c>
      <c r="E15" s="9" t="s">
        <v>26</v>
      </c>
      <c r="F15" s="9" t="s">
        <v>499</v>
      </c>
      <c r="G15" s="39">
        <v>4000</v>
      </c>
    </row>
    <row r="16" spans="1:10" s="9" customFormat="1" x14ac:dyDescent="0.3">
      <c r="A16" s="9" t="s">
        <v>0</v>
      </c>
      <c r="B16" s="9" t="s">
        <v>114</v>
      </c>
      <c r="C16" s="9">
        <v>1089280</v>
      </c>
      <c r="D16" s="9" t="s">
        <v>500</v>
      </c>
      <c r="E16" s="9" t="s">
        <v>79</v>
      </c>
      <c r="F16" s="9" t="s">
        <v>501</v>
      </c>
      <c r="G16" s="39">
        <v>20000</v>
      </c>
    </row>
    <row r="17" spans="1:7" s="9" customFormat="1" x14ac:dyDescent="0.3">
      <c r="A17" s="9" t="s">
        <v>0</v>
      </c>
      <c r="B17" s="9" t="s">
        <v>143</v>
      </c>
      <c r="C17" s="9">
        <v>1089323</v>
      </c>
      <c r="D17" s="9" t="s">
        <v>502</v>
      </c>
      <c r="E17" s="9" t="s">
        <v>26</v>
      </c>
      <c r="F17" s="9" t="s">
        <v>54</v>
      </c>
      <c r="G17" s="39">
        <v>14000</v>
      </c>
    </row>
    <row r="18" spans="1:7" s="9" customFormat="1" x14ac:dyDescent="0.3">
      <c r="A18" s="9" t="s">
        <v>0</v>
      </c>
      <c r="B18" s="9" t="s">
        <v>77</v>
      </c>
      <c r="C18" s="9">
        <v>1089259</v>
      </c>
      <c r="D18" s="9" t="s">
        <v>503</v>
      </c>
      <c r="E18" s="9" t="s">
        <v>201</v>
      </c>
      <c r="F18" s="9" t="s">
        <v>266</v>
      </c>
      <c r="G18" s="39">
        <v>18000</v>
      </c>
    </row>
    <row r="19" spans="1:7" s="9" customFormat="1" x14ac:dyDescent="0.3">
      <c r="A19" s="9" t="s">
        <v>0</v>
      </c>
      <c r="B19" s="9" t="s">
        <v>504</v>
      </c>
      <c r="C19" s="9">
        <v>1089260</v>
      </c>
      <c r="D19" s="9" t="s">
        <v>505</v>
      </c>
      <c r="E19" s="9" t="s">
        <v>26</v>
      </c>
      <c r="F19" s="9" t="s">
        <v>31</v>
      </c>
      <c r="G19" s="39">
        <v>7500</v>
      </c>
    </row>
    <row r="20" spans="1:7" s="9" customFormat="1" x14ac:dyDescent="0.3">
      <c r="A20" s="9" t="s">
        <v>0</v>
      </c>
      <c r="B20" s="9" t="s">
        <v>263</v>
      </c>
      <c r="C20" s="9">
        <v>1089263</v>
      </c>
      <c r="D20" s="9" t="s">
        <v>506</v>
      </c>
      <c r="E20" s="9" t="s">
        <v>26</v>
      </c>
      <c r="F20" s="9" t="s">
        <v>31</v>
      </c>
      <c r="G20" s="39">
        <v>7500</v>
      </c>
    </row>
    <row r="21" spans="1:7" s="9" customFormat="1" x14ac:dyDescent="0.3">
      <c r="A21" s="9" t="s">
        <v>0</v>
      </c>
      <c r="B21" s="9" t="s">
        <v>283</v>
      </c>
      <c r="C21" s="9">
        <v>1089330</v>
      </c>
      <c r="D21" s="9" t="s">
        <v>507</v>
      </c>
      <c r="E21" s="9" t="s">
        <v>26</v>
      </c>
      <c r="F21" s="9" t="s">
        <v>31</v>
      </c>
      <c r="G21" s="39">
        <v>7500</v>
      </c>
    </row>
    <row r="22" spans="1:7" s="9" customFormat="1" x14ac:dyDescent="0.3">
      <c r="A22" s="9" t="s">
        <v>0</v>
      </c>
      <c r="B22" s="9" t="s">
        <v>508</v>
      </c>
      <c r="C22" s="9">
        <v>1089267</v>
      </c>
      <c r="D22" s="9" t="s">
        <v>509</v>
      </c>
      <c r="E22" s="9" t="s">
        <v>26</v>
      </c>
      <c r="F22" s="9" t="s">
        <v>74</v>
      </c>
      <c r="G22" s="39">
        <v>20000</v>
      </c>
    </row>
    <row r="23" spans="1:7" s="9" customFormat="1" x14ac:dyDescent="0.3">
      <c r="A23" s="9" t="s">
        <v>0</v>
      </c>
      <c r="B23" s="9" t="s">
        <v>510</v>
      </c>
      <c r="C23" s="9">
        <v>1089333</v>
      </c>
      <c r="D23" s="9" t="s">
        <v>511</v>
      </c>
      <c r="E23" s="9" t="s">
        <v>26</v>
      </c>
      <c r="F23" s="9" t="s">
        <v>74</v>
      </c>
      <c r="G23" s="39">
        <v>20000</v>
      </c>
    </row>
    <row r="24" spans="1:7" s="9" customFormat="1" x14ac:dyDescent="0.3">
      <c r="A24" s="9" t="s">
        <v>0</v>
      </c>
      <c r="B24" s="9" t="s">
        <v>512</v>
      </c>
      <c r="C24" s="9">
        <v>1089301</v>
      </c>
      <c r="D24" s="9" t="s">
        <v>513</v>
      </c>
      <c r="E24" s="9" t="s">
        <v>79</v>
      </c>
      <c r="F24" s="9" t="s">
        <v>353</v>
      </c>
      <c r="G24" s="39">
        <v>14000</v>
      </c>
    </row>
    <row r="25" spans="1:7" s="9" customFormat="1" x14ac:dyDescent="0.3">
      <c r="A25" s="9" t="s">
        <v>0</v>
      </c>
      <c r="B25" s="9" t="s">
        <v>512</v>
      </c>
      <c r="C25" s="9">
        <v>1089303</v>
      </c>
      <c r="D25" s="9" t="s">
        <v>513</v>
      </c>
      <c r="E25" s="9" t="s">
        <v>26</v>
      </c>
      <c r="F25" s="9" t="s">
        <v>353</v>
      </c>
      <c r="G25" s="39">
        <v>11000</v>
      </c>
    </row>
    <row r="26" spans="1:7" s="9" customFormat="1" x14ac:dyDescent="0.3">
      <c r="A26" s="9" t="s">
        <v>0</v>
      </c>
      <c r="B26" s="9" t="s">
        <v>514</v>
      </c>
      <c r="C26" s="9">
        <v>1089297</v>
      </c>
      <c r="D26" s="9" t="s">
        <v>515</v>
      </c>
      <c r="E26" s="9" t="s">
        <v>26</v>
      </c>
      <c r="F26" s="9" t="s">
        <v>516</v>
      </c>
      <c r="G26" s="39">
        <v>27000</v>
      </c>
    </row>
    <row r="27" spans="1:7" s="9" customFormat="1" x14ac:dyDescent="0.3">
      <c r="A27" s="9" t="s">
        <v>0</v>
      </c>
      <c r="B27" s="9" t="s">
        <v>517</v>
      </c>
      <c r="C27" s="9">
        <v>1089286</v>
      </c>
      <c r="D27" s="9" t="s">
        <v>518</v>
      </c>
      <c r="E27" s="9" t="s">
        <v>34</v>
      </c>
      <c r="F27" s="9" t="s">
        <v>39</v>
      </c>
      <c r="G27" s="39">
        <v>18000</v>
      </c>
    </row>
    <row r="28" spans="1:7" s="9" customFormat="1" x14ac:dyDescent="0.3">
      <c r="A28" s="9" t="s">
        <v>0</v>
      </c>
      <c r="B28" s="9" t="s">
        <v>297</v>
      </c>
      <c r="C28" s="9">
        <v>1089264</v>
      </c>
      <c r="D28" s="9" t="s">
        <v>298</v>
      </c>
      <c r="E28" s="9" t="s">
        <v>201</v>
      </c>
      <c r="F28" s="9" t="s">
        <v>84</v>
      </c>
      <c r="G28" s="39">
        <v>21000</v>
      </c>
    </row>
    <row r="29" spans="1:7" s="9" customFormat="1" x14ac:dyDescent="0.3">
      <c r="A29" s="9" t="s">
        <v>0</v>
      </c>
      <c r="B29" s="9" t="s">
        <v>297</v>
      </c>
      <c r="C29" s="9">
        <v>1089269</v>
      </c>
      <c r="D29" s="9" t="s">
        <v>519</v>
      </c>
      <c r="E29" s="9" t="s">
        <v>26</v>
      </c>
      <c r="F29" s="9" t="s">
        <v>84</v>
      </c>
      <c r="G29" s="39">
        <v>20000</v>
      </c>
    </row>
    <row r="30" spans="1:7" s="9" customFormat="1" x14ac:dyDescent="0.3">
      <c r="A30" s="9" t="s">
        <v>0</v>
      </c>
      <c r="B30" s="9" t="s">
        <v>90</v>
      </c>
      <c r="C30" s="9">
        <v>1089298</v>
      </c>
      <c r="D30" s="9" t="s">
        <v>520</v>
      </c>
      <c r="E30" s="9" t="s">
        <v>482</v>
      </c>
      <c r="F30" s="9" t="s">
        <v>84</v>
      </c>
      <c r="G30" s="39">
        <v>20000</v>
      </c>
    </row>
    <row r="31" spans="1:7" s="9" customFormat="1" x14ac:dyDescent="0.3">
      <c r="A31" s="9" t="s">
        <v>0</v>
      </c>
      <c r="B31" s="9" t="s">
        <v>80</v>
      </c>
      <c r="C31" s="9">
        <v>1089299</v>
      </c>
      <c r="D31" s="9" t="s">
        <v>521</v>
      </c>
      <c r="E31" s="9" t="s">
        <v>26</v>
      </c>
      <c r="F31" s="9" t="s">
        <v>84</v>
      </c>
      <c r="G31" s="39">
        <v>20000</v>
      </c>
    </row>
    <row r="32" spans="1:7" s="9" customFormat="1" x14ac:dyDescent="0.3">
      <c r="A32" s="9" t="s">
        <v>0</v>
      </c>
      <c r="B32" s="9" t="s">
        <v>522</v>
      </c>
      <c r="C32" s="9">
        <v>1089315</v>
      </c>
      <c r="D32" s="9" t="s">
        <v>523</v>
      </c>
      <c r="E32" s="9" t="s">
        <v>26</v>
      </c>
      <c r="F32" s="9" t="s">
        <v>84</v>
      </c>
      <c r="G32" s="39">
        <v>20000</v>
      </c>
    </row>
    <row r="33" spans="1:7" s="9" customFormat="1" x14ac:dyDescent="0.3">
      <c r="A33" s="9" t="s">
        <v>0</v>
      </c>
      <c r="B33" s="9" t="s">
        <v>114</v>
      </c>
      <c r="C33" s="9">
        <v>1089318</v>
      </c>
      <c r="D33" s="9" t="s">
        <v>524</v>
      </c>
      <c r="E33" s="9" t="s">
        <v>482</v>
      </c>
      <c r="F33" s="9" t="s">
        <v>84</v>
      </c>
      <c r="G33" s="39">
        <v>20000</v>
      </c>
    </row>
    <row r="34" spans="1:7" s="9" customFormat="1" x14ac:dyDescent="0.3">
      <c r="A34" s="9" t="s">
        <v>0</v>
      </c>
      <c r="B34" s="9" t="s">
        <v>122</v>
      </c>
      <c r="C34" s="9">
        <v>1089322</v>
      </c>
      <c r="D34" s="9" t="s">
        <v>525</v>
      </c>
      <c r="E34" s="9" t="s">
        <v>160</v>
      </c>
      <c r="F34" s="9" t="s">
        <v>45</v>
      </c>
      <c r="G34" s="39">
        <v>20000</v>
      </c>
    </row>
    <row r="35" spans="1:7" s="9" customFormat="1" x14ac:dyDescent="0.3">
      <c r="A35" s="9" t="s">
        <v>0</v>
      </c>
      <c r="B35" s="9" t="s">
        <v>271</v>
      </c>
      <c r="C35" s="9">
        <v>1089248</v>
      </c>
      <c r="D35" s="9" t="s">
        <v>526</v>
      </c>
      <c r="E35" s="9" t="s">
        <v>34</v>
      </c>
      <c r="F35" s="9" t="s">
        <v>104</v>
      </c>
      <c r="G35" s="39">
        <v>4000</v>
      </c>
    </row>
    <row r="36" spans="1:7" s="9" customFormat="1" x14ac:dyDescent="0.3">
      <c r="A36" s="9" t="s">
        <v>0</v>
      </c>
      <c r="B36" s="9" t="s">
        <v>527</v>
      </c>
      <c r="C36" s="9">
        <v>1089266</v>
      </c>
      <c r="D36" s="9" t="s">
        <v>528</v>
      </c>
      <c r="E36" s="9" t="s">
        <v>26</v>
      </c>
      <c r="F36" s="9" t="s">
        <v>104</v>
      </c>
      <c r="G36" s="39">
        <v>3000</v>
      </c>
    </row>
    <row r="37" spans="1:7" s="9" customFormat="1" x14ac:dyDescent="0.3">
      <c r="A37" s="9" t="s">
        <v>0</v>
      </c>
      <c r="B37" s="9" t="s">
        <v>130</v>
      </c>
      <c r="C37" s="9">
        <v>1089325</v>
      </c>
      <c r="D37" s="9" t="s">
        <v>529</v>
      </c>
      <c r="E37" s="9" t="s">
        <v>26</v>
      </c>
      <c r="F37" s="9" t="s">
        <v>104</v>
      </c>
      <c r="G37" s="39">
        <v>3000</v>
      </c>
    </row>
    <row r="38" spans="1:7" s="9" customFormat="1" x14ac:dyDescent="0.3">
      <c r="A38" s="9" t="s">
        <v>0</v>
      </c>
      <c r="B38" s="9" t="s">
        <v>530</v>
      </c>
      <c r="C38" s="9">
        <v>1089327</v>
      </c>
      <c r="D38" s="9" t="s">
        <v>531</v>
      </c>
      <c r="E38" s="9" t="s">
        <v>26</v>
      </c>
      <c r="F38" s="9" t="s">
        <v>104</v>
      </c>
      <c r="G38" s="39">
        <v>3000</v>
      </c>
    </row>
    <row r="39" spans="1:7" s="9" customFormat="1" x14ac:dyDescent="0.3">
      <c r="A39" s="9" t="s">
        <v>0</v>
      </c>
      <c r="B39" s="9" t="s">
        <v>46</v>
      </c>
      <c r="C39" s="9">
        <v>1089332</v>
      </c>
      <c r="D39" s="9" t="s">
        <v>532</v>
      </c>
      <c r="E39" s="9" t="s">
        <v>160</v>
      </c>
      <c r="F39" s="9" t="s">
        <v>104</v>
      </c>
      <c r="G39" s="39">
        <v>4000</v>
      </c>
    </row>
    <row r="40" spans="1:7" s="9" customFormat="1" x14ac:dyDescent="0.3">
      <c r="A40" s="9" t="s">
        <v>0</v>
      </c>
      <c r="B40" s="9" t="s">
        <v>108</v>
      </c>
      <c r="C40" s="9">
        <v>1089251</v>
      </c>
      <c r="D40" s="9" t="s">
        <v>533</v>
      </c>
      <c r="E40" s="9" t="s">
        <v>26</v>
      </c>
      <c r="F40" s="9" t="s">
        <v>110</v>
      </c>
      <c r="G40" s="39">
        <v>6000</v>
      </c>
    </row>
    <row r="41" spans="1:7" s="9" customFormat="1" x14ac:dyDescent="0.3">
      <c r="A41" s="9" t="s">
        <v>0</v>
      </c>
      <c r="B41" s="9" t="s">
        <v>77</v>
      </c>
      <c r="C41" s="9">
        <v>1089265</v>
      </c>
      <c r="D41" s="9" t="s">
        <v>534</v>
      </c>
      <c r="E41" s="9" t="s">
        <v>26</v>
      </c>
      <c r="F41" s="9" t="s">
        <v>110</v>
      </c>
      <c r="G41" s="39">
        <v>6000</v>
      </c>
    </row>
    <row r="42" spans="1:7" s="9" customFormat="1" x14ac:dyDescent="0.3">
      <c r="A42" s="9" t="s">
        <v>0</v>
      </c>
      <c r="B42" s="9" t="s">
        <v>271</v>
      </c>
      <c r="C42" s="9">
        <v>1089277</v>
      </c>
      <c r="D42" s="9" t="s">
        <v>495</v>
      </c>
      <c r="E42" s="9" t="s">
        <v>482</v>
      </c>
      <c r="F42" s="9" t="s">
        <v>110</v>
      </c>
      <c r="G42" s="39">
        <v>6000</v>
      </c>
    </row>
    <row r="43" spans="1:7" s="9" customFormat="1" x14ac:dyDescent="0.3">
      <c r="A43" s="9" t="s">
        <v>0</v>
      </c>
      <c r="B43" s="9" t="s">
        <v>535</v>
      </c>
      <c r="C43" s="9">
        <v>1089290</v>
      </c>
      <c r="D43" s="9" t="s">
        <v>536</v>
      </c>
      <c r="E43" s="9" t="s">
        <v>26</v>
      </c>
      <c r="F43" s="9" t="s">
        <v>110</v>
      </c>
      <c r="G43" s="39">
        <v>6000</v>
      </c>
    </row>
    <row r="44" spans="1:7" s="9" customFormat="1" x14ac:dyDescent="0.3">
      <c r="A44" s="9" t="s">
        <v>0</v>
      </c>
      <c r="B44" s="9" t="s">
        <v>537</v>
      </c>
      <c r="C44" s="9">
        <v>1089319</v>
      </c>
      <c r="D44" s="9" t="s">
        <v>538</v>
      </c>
      <c r="E44" s="9" t="s">
        <v>26</v>
      </c>
      <c r="F44" s="9" t="s">
        <v>110</v>
      </c>
      <c r="G44" s="39">
        <v>6000</v>
      </c>
    </row>
    <row r="45" spans="1:7" s="9" customFormat="1" x14ac:dyDescent="0.3">
      <c r="A45" s="9" t="s">
        <v>0</v>
      </c>
      <c r="B45" s="9" t="s">
        <v>504</v>
      </c>
      <c r="C45" s="9">
        <v>1089320</v>
      </c>
      <c r="D45" s="9" t="s">
        <v>539</v>
      </c>
      <c r="E45" s="9" t="s">
        <v>26</v>
      </c>
      <c r="F45" s="9" t="s">
        <v>110</v>
      </c>
      <c r="G45" s="39">
        <v>6000</v>
      </c>
    </row>
    <row r="46" spans="1:7" s="9" customFormat="1" x14ac:dyDescent="0.3">
      <c r="A46" s="9" t="s">
        <v>0</v>
      </c>
      <c r="B46" s="9" t="s">
        <v>108</v>
      </c>
      <c r="C46" s="9">
        <v>1089284</v>
      </c>
      <c r="D46" s="9" t="s">
        <v>540</v>
      </c>
      <c r="E46" s="9" t="s">
        <v>26</v>
      </c>
      <c r="F46" s="9" t="s">
        <v>110</v>
      </c>
      <c r="G46" s="39">
        <v>6000</v>
      </c>
    </row>
    <row r="47" spans="1:7" s="9" customFormat="1" x14ac:dyDescent="0.3">
      <c r="A47" s="9" t="s">
        <v>0</v>
      </c>
      <c r="B47" s="9" t="s">
        <v>77</v>
      </c>
      <c r="C47" s="9">
        <v>1089293</v>
      </c>
      <c r="D47" s="9" t="s">
        <v>541</v>
      </c>
      <c r="E47" s="9" t="s">
        <v>26</v>
      </c>
      <c r="F47" s="9" t="s">
        <v>113</v>
      </c>
      <c r="G47" s="39">
        <v>4000</v>
      </c>
    </row>
    <row r="48" spans="1:7" s="9" customFormat="1" x14ac:dyDescent="0.3">
      <c r="A48" s="9" t="s">
        <v>0</v>
      </c>
      <c r="B48" s="9" t="s">
        <v>542</v>
      </c>
      <c r="C48" s="9">
        <v>1089313</v>
      </c>
      <c r="D48" s="9" t="s">
        <v>543</v>
      </c>
      <c r="E48" s="9" t="s">
        <v>26</v>
      </c>
      <c r="F48" s="9" t="s">
        <v>113</v>
      </c>
      <c r="G48" s="39">
        <v>4000</v>
      </c>
    </row>
    <row r="49" spans="1:7" s="9" customFormat="1" x14ac:dyDescent="0.3">
      <c r="A49" s="9" t="s">
        <v>0</v>
      </c>
      <c r="B49" s="9" t="s">
        <v>125</v>
      </c>
      <c r="C49" s="9">
        <v>1089253</v>
      </c>
      <c r="D49" s="9" t="s">
        <v>544</v>
      </c>
      <c r="E49" s="9" t="s">
        <v>34</v>
      </c>
      <c r="F49" s="9" t="s">
        <v>124</v>
      </c>
      <c r="G49" s="39">
        <v>4000</v>
      </c>
    </row>
    <row r="50" spans="1:7" s="9" customFormat="1" x14ac:dyDescent="0.3">
      <c r="A50" s="9" t="s">
        <v>0</v>
      </c>
      <c r="B50" s="9" t="s">
        <v>125</v>
      </c>
      <c r="C50" s="9">
        <v>1089302</v>
      </c>
      <c r="D50" s="9" t="s">
        <v>545</v>
      </c>
      <c r="E50" s="9" t="s">
        <v>26</v>
      </c>
      <c r="F50" s="9" t="s">
        <v>124</v>
      </c>
      <c r="G50" s="39">
        <v>3000</v>
      </c>
    </row>
    <row r="51" spans="1:7" s="9" customFormat="1" x14ac:dyDescent="0.3">
      <c r="A51" s="9" t="s">
        <v>0</v>
      </c>
      <c r="B51" s="9" t="s">
        <v>130</v>
      </c>
      <c r="C51" s="9">
        <v>1089268</v>
      </c>
      <c r="D51" s="9" t="s">
        <v>546</v>
      </c>
      <c r="E51" s="9" t="s">
        <v>160</v>
      </c>
      <c r="F51" s="9" t="s">
        <v>129</v>
      </c>
      <c r="G51" s="39">
        <v>4000</v>
      </c>
    </row>
    <row r="52" spans="1:7" s="9" customFormat="1" x14ac:dyDescent="0.3">
      <c r="A52" s="9" t="s">
        <v>0</v>
      </c>
      <c r="B52" s="9" t="s">
        <v>130</v>
      </c>
      <c r="C52" s="9">
        <v>1089289</v>
      </c>
      <c r="D52" s="9" t="s">
        <v>547</v>
      </c>
      <c r="E52" s="9" t="s">
        <v>26</v>
      </c>
      <c r="F52" s="9" t="s">
        <v>129</v>
      </c>
      <c r="G52" s="39">
        <v>3000</v>
      </c>
    </row>
    <row r="53" spans="1:7" s="9" customFormat="1" x14ac:dyDescent="0.3">
      <c r="A53" s="9" t="s">
        <v>0</v>
      </c>
      <c r="B53" s="9" t="s">
        <v>130</v>
      </c>
      <c r="C53" s="9">
        <v>1089304</v>
      </c>
      <c r="D53" s="9" t="s">
        <v>548</v>
      </c>
      <c r="E53" s="9" t="s">
        <v>26</v>
      </c>
      <c r="F53" s="9" t="s">
        <v>129</v>
      </c>
      <c r="G53" s="39">
        <v>3000</v>
      </c>
    </row>
    <row r="54" spans="1:7" s="9" customFormat="1" x14ac:dyDescent="0.3">
      <c r="A54" s="9" t="s">
        <v>0</v>
      </c>
      <c r="B54" s="9" t="s">
        <v>135</v>
      </c>
      <c r="C54" s="9">
        <v>1089316</v>
      </c>
      <c r="D54" s="9" t="s">
        <v>549</v>
      </c>
      <c r="E54" s="9" t="s">
        <v>26</v>
      </c>
      <c r="F54" s="9" t="s">
        <v>550</v>
      </c>
      <c r="G54" s="39">
        <v>6000</v>
      </c>
    </row>
    <row r="55" spans="1:7" s="9" customFormat="1" x14ac:dyDescent="0.3">
      <c r="A55" s="9" t="s">
        <v>0</v>
      </c>
      <c r="B55" s="9" t="s">
        <v>504</v>
      </c>
      <c r="C55" s="9">
        <v>1089320</v>
      </c>
      <c r="D55" s="9" t="s">
        <v>539</v>
      </c>
      <c r="E55" s="9" t="s">
        <v>26</v>
      </c>
      <c r="F55" s="9" t="s">
        <v>207</v>
      </c>
      <c r="G55" s="39">
        <v>3000</v>
      </c>
    </row>
    <row r="56" spans="1:7" s="9" customFormat="1" x14ac:dyDescent="0.3">
      <c r="A56" s="9" t="s">
        <v>0</v>
      </c>
      <c r="B56" s="9" t="s">
        <v>135</v>
      </c>
      <c r="C56" s="9">
        <v>1089316</v>
      </c>
      <c r="D56" s="9" t="s">
        <v>549</v>
      </c>
      <c r="E56" s="9" t="s">
        <v>26</v>
      </c>
      <c r="F56" s="9" t="s">
        <v>551</v>
      </c>
      <c r="G56" s="39">
        <v>5000</v>
      </c>
    </row>
    <row r="57" spans="1:7" s="9" customFormat="1" x14ac:dyDescent="0.3">
      <c r="A57" s="9" t="s">
        <v>0</v>
      </c>
      <c r="B57" s="9" t="s">
        <v>135</v>
      </c>
      <c r="C57" s="9">
        <v>1089316</v>
      </c>
      <c r="D57" s="9" t="s">
        <v>549</v>
      </c>
      <c r="E57" s="9" t="s">
        <v>26</v>
      </c>
      <c r="F57" s="9" t="s">
        <v>141</v>
      </c>
      <c r="G57" s="39">
        <v>5000</v>
      </c>
    </row>
    <row r="58" spans="1:7" s="9" customFormat="1" x14ac:dyDescent="0.3">
      <c r="A58" s="9" t="s">
        <v>0</v>
      </c>
      <c r="B58" s="9" t="s">
        <v>283</v>
      </c>
      <c r="C58" s="9">
        <v>1089330</v>
      </c>
      <c r="D58" s="9" t="s">
        <v>507</v>
      </c>
      <c r="E58" s="9" t="s">
        <v>26</v>
      </c>
      <c r="F58" s="9" t="s">
        <v>141</v>
      </c>
      <c r="G58" s="39">
        <v>5000</v>
      </c>
    </row>
    <row r="59" spans="1:7" s="9" customFormat="1" x14ac:dyDescent="0.3">
      <c r="A59" s="9" t="s">
        <v>0</v>
      </c>
      <c r="B59" s="9" t="s">
        <v>135</v>
      </c>
      <c r="C59" s="9">
        <v>1089328</v>
      </c>
      <c r="D59" s="9" t="s">
        <v>552</v>
      </c>
      <c r="E59" s="9" t="s">
        <v>26</v>
      </c>
      <c r="F59" s="9" t="s">
        <v>141</v>
      </c>
      <c r="G59" s="39">
        <v>5000</v>
      </c>
    </row>
    <row r="60" spans="1:7" s="9" customFormat="1" x14ac:dyDescent="0.3">
      <c r="A60" s="9" t="s">
        <v>0</v>
      </c>
      <c r="B60" s="9" t="s">
        <v>135</v>
      </c>
      <c r="C60" s="9">
        <v>1089331</v>
      </c>
      <c r="D60" s="9" t="s">
        <v>553</v>
      </c>
      <c r="E60" s="9" t="s">
        <v>26</v>
      </c>
      <c r="F60" s="9" t="s">
        <v>141</v>
      </c>
      <c r="G60" s="39">
        <v>5000</v>
      </c>
    </row>
    <row r="61" spans="1:7" s="9" customFormat="1" x14ac:dyDescent="0.3">
      <c r="A61" s="9" t="s">
        <v>0</v>
      </c>
      <c r="B61" s="9" t="s">
        <v>135</v>
      </c>
      <c r="C61" s="9">
        <v>1089311</v>
      </c>
      <c r="D61" s="9" t="s">
        <v>554</v>
      </c>
      <c r="E61" s="9" t="s">
        <v>44</v>
      </c>
      <c r="F61" s="9" t="s">
        <v>299</v>
      </c>
      <c r="G61" s="39">
        <v>2200</v>
      </c>
    </row>
    <row r="62" spans="1:7" s="9" customFormat="1" x14ac:dyDescent="0.3">
      <c r="A62" s="9" t="s">
        <v>0</v>
      </c>
      <c r="B62" s="9" t="s">
        <v>283</v>
      </c>
      <c r="C62" s="9">
        <v>1089330</v>
      </c>
      <c r="D62" s="9" t="s">
        <v>507</v>
      </c>
      <c r="E62" s="9" t="s">
        <v>26</v>
      </c>
      <c r="F62" s="9" t="s">
        <v>555</v>
      </c>
      <c r="G62" s="39">
        <v>2500</v>
      </c>
    </row>
    <row r="63" spans="1:7" s="9" customFormat="1" x14ac:dyDescent="0.3">
      <c r="A63" s="9" t="s">
        <v>0</v>
      </c>
      <c r="B63" s="9" t="s">
        <v>135</v>
      </c>
      <c r="C63" s="9">
        <v>1089328</v>
      </c>
      <c r="D63" s="9" t="s">
        <v>552</v>
      </c>
      <c r="E63" s="9" t="s">
        <v>26</v>
      </c>
      <c r="F63" s="9" t="s">
        <v>555</v>
      </c>
      <c r="G63" s="39">
        <v>2500</v>
      </c>
    </row>
    <row r="64" spans="1:7" s="9" customFormat="1" x14ac:dyDescent="0.3">
      <c r="A64" s="9" t="s">
        <v>0</v>
      </c>
      <c r="B64" s="9" t="s">
        <v>135</v>
      </c>
      <c r="C64" s="9">
        <v>1089331</v>
      </c>
      <c r="D64" s="9" t="s">
        <v>553</v>
      </c>
      <c r="E64" s="9" t="s">
        <v>26</v>
      </c>
      <c r="F64" s="9" t="s">
        <v>555</v>
      </c>
      <c r="G64" s="39">
        <v>2500</v>
      </c>
    </row>
    <row r="65" spans="1:7" s="9" customFormat="1" x14ac:dyDescent="0.3">
      <c r="A65" s="9" t="s">
        <v>0</v>
      </c>
      <c r="B65" s="9" t="s">
        <v>77</v>
      </c>
      <c r="C65" s="9">
        <v>1089265</v>
      </c>
      <c r="D65" s="9" t="s">
        <v>534</v>
      </c>
      <c r="E65" s="9" t="s">
        <v>26</v>
      </c>
      <c r="F65" s="9" t="s">
        <v>142</v>
      </c>
      <c r="G65" s="39">
        <v>2000</v>
      </c>
    </row>
    <row r="66" spans="1:7" s="9" customFormat="1" x14ac:dyDescent="0.3">
      <c r="A66" s="9" t="s">
        <v>0</v>
      </c>
      <c r="B66" s="9" t="s">
        <v>297</v>
      </c>
      <c r="C66" s="9">
        <v>1089269</v>
      </c>
      <c r="D66" s="9" t="s">
        <v>519</v>
      </c>
      <c r="E66" s="9" t="s">
        <v>26</v>
      </c>
      <c r="F66" s="9" t="s">
        <v>142</v>
      </c>
      <c r="G66" s="39">
        <v>2000</v>
      </c>
    </row>
    <row r="67" spans="1:7" s="9" customFormat="1" x14ac:dyDescent="0.3">
      <c r="A67" s="9" t="s">
        <v>0</v>
      </c>
      <c r="B67" s="9" t="s">
        <v>295</v>
      </c>
      <c r="C67" s="9">
        <v>1089285</v>
      </c>
      <c r="D67" s="9" t="s">
        <v>556</v>
      </c>
      <c r="E67" s="9" t="s">
        <v>26</v>
      </c>
      <c r="F67" s="9" t="s">
        <v>557</v>
      </c>
      <c r="G67" s="39">
        <v>2500</v>
      </c>
    </row>
    <row r="68" spans="1:7" s="9" customFormat="1" x14ac:dyDescent="0.3">
      <c r="A68" s="9" t="s">
        <v>0</v>
      </c>
      <c r="B68" s="9" t="s">
        <v>62</v>
      </c>
      <c r="C68" s="9">
        <v>1089312</v>
      </c>
      <c r="D68" s="9" t="s">
        <v>558</v>
      </c>
      <c r="E68" s="9" t="s">
        <v>160</v>
      </c>
      <c r="F68" s="9" t="s">
        <v>184</v>
      </c>
      <c r="G68" s="39">
        <v>2500</v>
      </c>
    </row>
    <row r="69" spans="1:7" s="9" customFormat="1" x14ac:dyDescent="0.3">
      <c r="A69" s="9" t="s">
        <v>0</v>
      </c>
      <c r="B69" s="9" t="s">
        <v>135</v>
      </c>
      <c r="C69" s="9">
        <v>1089311</v>
      </c>
      <c r="D69" s="9" t="s">
        <v>554</v>
      </c>
      <c r="E69" s="9" t="s">
        <v>44</v>
      </c>
      <c r="F69" s="9" t="s">
        <v>231</v>
      </c>
      <c r="G69" s="39">
        <v>2500</v>
      </c>
    </row>
    <row r="70" spans="1:7" s="9" customFormat="1" x14ac:dyDescent="0.3">
      <c r="A70" s="9" t="s">
        <v>0</v>
      </c>
      <c r="B70" s="9" t="s">
        <v>283</v>
      </c>
      <c r="C70" s="9">
        <v>1089330</v>
      </c>
      <c r="D70" s="9" t="s">
        <v>507</v>
      </c>
      <c r="E70" s="9" t="s">
        <v>26</v>
      </c>
      <c r="F70" s="9" t="s">
        <v>231</v>
      </c>
      <c r="G70" s="39">
        <v>2500</v>
      </c>
    </row>
    <row r="71" spans="1:7" s="9" customFormat="1" x14ac:dyDescent="0.3">
      <c r="A71" s="9" t="s">
        <v>0</v>
      </c>
      <c r="B71" s="9" t="s">
        <v>135</v>
      </c>
      <c r="C71" s="9">
        <v>1089328</v>
      </c>
      <c r="D71" s="9" t="s">
        <v>552</v>
      </c>
      <c r="E71" s="9" t="s">
        <v>26</v>
      </c>
      <c r="F71" s="9" t="s">
        <v>231</v>
      </c>
      <c r="G71" s="39">
        <v>2500</v>
      </c>
    </row>
    <row r="72" spans="1:7" s="9" customFormat="1" x14ac:dyDescent="0.3">
      <c r="A72" s="9" t="s">
        <v>0</v>
      </c>
      <c r="B72" s="9" t="s">
        <v>135</v>
      </c>
      <c r="C72" s="9">
        <v>1089331</v>
      </c>
      <c r="D72" s="9" t="s">
        <v>553</v>
      </c>
      <c r="E72" s="9" t="s">
        <v>26</v>
      </c>
      <c r="F72" s="9" t="s">
        <v>231</v>
      </c>
      <c r="G72" s="39">
        <v>2500</v>
      </c>
    </row>
    <row r="73" spans="1:7" s="9" customFormat="1" x14ac:dyDescent="0.3">
      <c r="A73" s="9" t="s">
        <v>0</v>
      </c>
      <c r="B73" s="9" t="s">
        <v>559</v>
      </c>
      <c r="C73" s="9">
        <v>1089296</v>
      </c>
      <c r="D73" s="9" t="s">
        <v>560</v>
      </c>
      <c r="E73" s="9" t="s">
        <v>305</v>
      </c>
      <c r="F73" s="9" t="s">
        <v>561</v>
      </c>
      <c r="G73" s="39">
        <v>2500</v>
      </c>
    </row>
    <row r="74" spans="1:7" s="9" customFormat="1" x14ac:dyDescent="0.3">
      <c r="A74" s="9" t="s">
        <v>0</v>
      </c>
      <c r="B74" s="9" t="s">
        <v>300</v>
      </c>
      <c r="C74" s="9">
        <v>1089288</v>
      </c>
      <c r="D74" s="9" t="s">
        <v>562</v>
      </c>
      <c r="E74" s="9" t="s">
        <v>26</v>
      </c>
      <c r="F74" s="9" t="s">
        <v>563</v>
      </c>
      <c r="G74" s="39">
        <v>2500</v>
      </c>
    </row>
    <row r="75" spans="1:7" s="12" customFormat="1" x14ac:dyDescent="0.3">
      <c r="A75" s="12" t="s">
        <v>9</v>
      </c>
      <c r="B75" s="12" t="s">
        <v>564</v>
      </c>
      <c r="C75" s="12">
        <v>1089287</v>
      </c>
      <c r="D75" s="12" t="s">
        <v>565</v>
      </c>
      <c r="E75" s="12" t="s">
        <v>26</v>
      </c>
      <c r="F75" s="12" t="s">
        <v>566</v>
      </c>
      <c r="G75" s="40">
        <v>13000</v>
      </c>
    </row>
    <row r="76" spans="1:7" s="12" customFormat="1" x14ac:dyDescent="0.3">
      <c r="A76" s="12" t="s">
        <v>9</v>
      </c>
      <c r="B76" s="12" t="s">
        <v>297</v>
      </c>
      <c r="C76" s="12">
        <v>1089292</v>
      </c>
      <c r="D76" s="12" t="s">
        <v>567</v>
      </c>
      <c r="E76" s="12" t="s">
        <v>26</v>
      </c>
      <c r="F76" s="12" t="s">
        <v>54</v>
      </c>
      <c r="G76" s="40">
        <v>14000</v>
      </c>
    </row>
    <row r="77" spans="1:7" s="12" customFormat="1" x14ac:dyDescent="0.3">
      <c r="A77" s="12" t="s">
        <v>9</v>
      </c>
      <c r="B77" s="12" t="s">
        <v>568</v>
      </c>
      <c r="C77" s="12">
        <v>1089262</v>
      </c>
      <c r="D77" s="12" t="s">
        <v>569</v>
      </c>
      <c r="E77" s="12" t="s">
        <v>26</v>
      </c>
      <c r="F77" s="12" t="s">
        <v>71</v>
      </c>
      <c r="G77" s="40">
        <v>6500</v>
      </c>
    </row>
    <row r="78" spans="1:7" s="12" customFormat="1" x14ac:dyDescent="0.3">
      <c r="A78" s="12" t="s">
        <v>9</v>
      </c>
      <c r="B78" s="12" t="s">
        <v>570</v>
      </c>
      <c r="C78" s="12">
        <v>1089254</v>
      </c>
      <c r="D78" s="12" t="s">
        <v>571</v>
      </c>
      <c r="E78" s="12" t="s">
        <v>26</v>
      </c>
      <c r="F78" s="12" t="s">
        <v>74</v>
      </c>
      <c r="G78" s="40">
        <v>20000</v>
      </c>
    </row>
    <row r="79" spans="1:7" s="12" customFormat="1" x14ac:dyDescent="0.3">
      <c r="A79" s="12" t="s">
        <v>9</v>
      </c>
      <c r="B79" s="12" t="s">
        <v>572</v>
      </c>
      <c r="C79" s="12">
        <v>1089314</v>
      </c>
      <c r="D79" s="12" t="s">
        <v>575</v>
      </c>
      <c r="E79" s="12" t="s">
        <v>34</v>
      </c>
      <c r="F79" s="12" t="s">
        <v>74</v>
      </c>
      <c r="G79" s="40">
        <v>18000</v>
      </c>
    </row>
    <row r="80" spans="1:7" s="12" customFormat="1" x14ac:dyDescent="0.3">
      <c r="A80" s="12" t="s">
        <v>9</v>
      </c>
      <c r="B80" s="12" t="s">
        <v>570</v>
      </c>
      <c r="C80" s="12">
        <v>1089247</v>
      </c>
      <c r="D80" s="12" t="s">
        <v>576</v>
      </c>
      <c r="E80" s="12" t="s">
        <v>26</v>
      </c>
      <c r="F80" s="12" t="s">
        <v>353</v>
      </c>
      <c r="G80" s="40">
        <v>27000</v>
      </c>
    </row>
    <row r="81" spans="1:7" s="12" customFormat="1" x14ac:dyDescent="0.3">
      <c r="A81" s="12" t="s">
        <v>9</v>
      </c>
      <c r="B81" s="12" t="s">
        <v>577</v>
      </c>
      <c r="C81" s="12">
        <v>1089246</v>
      </c>
      <c r="D81" s="12" t="s">
        <v>578</v>
      </c>
      <c r="E81" s="12" t="s">
        <v>26</v>
      </c>
      <c r="F81" s="12" t="s">
        <v>316</v>
      </c>
      <c r="G81" s="40">
        <v>20000</v>
      </c>
    </row>
    <row r="82" spans="1:7" s="12" customFormat="1" x14ac:dyDescent="0.3">
      <c r="A82" s="12" t="s">
        <v>9</v>
      </c>
      <c r="B82" s="12" t="s">
        <v>162</v>
      </c>
      <c r="C82" s="12">
        <v>1089271</v>
      </c>
      <c r="D82" s="12" t="s">
        <v>579</v>
      </c>
      <c r="E82" s="12" t="s">
        <v>201</v>
      </c>
      <c r="F82" s="12" t="s">
        <v>316</v>
      </c>
      <c r="G82" s="40">
        <v>21000</v>
      </c>
    </row>
    <row r="83" spans="1:7" s="12" customFormat="1" x14ac:dyDescent="0.3">
      <c r="A83" s="12" t="s">
        <v>9</v>
      </c>
      <c r="B83" s="12" t="s">
        <v>580</v>
      </c>
      <c r="C83" s="12">
        <v>1089274</v>
      </c>
      <c r="D83" s="12" t="s">
        <v>581</v>
      </c>
      <c r="E83" s="12" t="s">
        <v>26</v>
      </c>
      <c r="F83" s="12" t="s">
        <v>84</v>
      </c>
      <c r="G83" s="40">
        <v>20000</v>
      </c>
    </row>
    <row r="84" spans="1:7" s="12" customFormat="1" x14ac:dyDescent="0.3">
      <c r="A84" s="12" t="s">
        <v>9</v>
      </c>
      <c r="B84" s="12" t="s">
        <v>582</v>
      </c>
      <c r="C84" s="12">
        <v>1089279</v>
      </c>
      <c r="D84" s="12" t="s">
        <v>583</v>
      </c>
      <c r="E84" s="12" t="s">
        <v>411</v>
      </c>
      <c r="F84" s="12" t="s">
        <v>84</v>
      </c>
      <c r="G84" s="40">
        <v>22000</v>
      </c>
    </row>
    <row r="85" spans="1:7" s="12" customFormat="1" x14ac:dyDescent="0.3">
      <c r="A85" s="12" t="s">
        <v>9</v>
      </c>
      <c r="B85" s="12" t="s">
        <v>584</v>
      </c>
      <c r="C85" s="12">
        <v>1089271</v>
      </c>
      <c r="D85" s="12" t="s">
        <v>579</v>
      </c>
      <c r="E85" s="12" t="s">
        <v>201</v>
      </c>
      <c r="F85" s="12" t="s">
        <v>195</v>
      </c>
      <c r="G85" s="40">
        <v>24000</v>
      </c>
    </row>
    <row r="86" spans="1:7" s="12" customFormat="1" x14ac:dyDescent="0.3">
      <c r="A86" s="12" t="s">
        <v>9</v>
      </c>
      <c r="B86" s="12" t="s">
        <v>570</v>
      </c>
      <c r="C86" s="12">
        <v>1089254</v>
      </c>
      <c r="D86" s="12" t="s">
        <v>571</v>
      </c>
      <c r="E86" s="12" t="s">
        <v>26</v>
      </c>
      <c r="F86" s="12" t="s">
        <v>104</v>
      </c>
      <c r="G86" s="40">
        <v>3000</v>
      </c>
    </row>
    <row r="87" spans="1:7" s="12" customFormat="1" x14ac:dyDescent="0.3">
      <c r="A87" s="12" t="s">
        <v>9</v>
      </c>
      <c r="B87" s="12" t="s">
        <v>585</v>
      </c>
      <c r="C87" s="12">
        <v>1089257</v>
      </c>
      <c r="D87" s="12" t="s">
        <v>586</v>
      </c>
      <c r="E87" s="12" t="s">
        <v>26</v>
      </c>
      <c r="F87" s="12" t="s">
        <v>110</v>
      </c>
      <c r="G87" s="40">
        <v>6000</v>
      </c>
    </row>
    <row r="88" spans="1:7" s="12" customFormat="1" x14ac:dyDescent="0.3">
      <c r="A88" s="12" t="s">
        <v>9</v>
      </c>
      <c r="B88" s="12" t="s">
        <v>381</v>
      </c>
      <c r="C88" s="12">
        <v>1089250</v>
      </c>
      <c r="D88" s="12" t="s">
        <v>382</v>
      </c>
      <c r="E88" s="12" t="s">
        <v>79</v>
      </c>
      <c r="F88" s="12" t="s">
        <v>383</v>
      </c>
      <c r="G88" s="40">
        <v>5000</v>
      </c>
    </row>
    <row r="89" spans="1:7" s="12" customFormat="1" x14ac:dyDescent="0.3">
      <c r="A89" s="12" t="s">
        <v>9</v>
      </c>
      <c r="B89" s="12" t="s">
        <v>174</v>
      </c>
      <c r="C89" s="12">
        <v>1089295</v>
      </c>
      <c r="D89" s="12" t="s">
        <v>587</v>
      </c>
      <c r="E89" s="12" t="s">
        <v>26</v>
      </c>
      <c r="F89" s="12" t="s">
        <v>116</v>
      </c>
      <c r="G89" s="40">
        <v>5000</v>
      </c>
    </row>
    <row r="90" spans="1:7" s="12" customFormat="1" x14ac:dyDescent="0.3">
      <c r="A90" s="12" t="s">
        <v>9</v>
      </c>
      <c r="B90" s="12" t="s">
        <v>588</v>
      </c>
      <c r="C90" s="12">
        <v>1089282</v>
      </c>
      <c r="D90" s="12" t="s">
        <v>589</v>
      </c>
      <c r="E90" s="12" t="s">
        <v>26</v>
      </c>
      <c r="F90" s="12" t="s">
        <v>124</v>
      </c>
      <c r="G90" s="40">
        <v>3000</v>
      </c>
    </row>
    <row r="91" spans="1:7" s="12" customFormat="1" x14ac:dyDescent="0.3">
      <c r="A91" s="12" t="s">
        <v>9</v>
      </c>
      <c r="B91" s="12" t="s">
        <v>174</v>
      </c>
      <c r="C91" s="12">
        <v>1089295</v>
      </c>
      <c r="D91" s="12" t="s">
        <v>587</v>
      </c>
      <c r="E91" s="12" t="s">
        <v>26</v>
      </c>
      <c r="F91" s="12" t="s">
        <v>207</v>
      </c>
      <c r="G91" s="40">
        <v>3000</v>
      </c>
    </row>
    <row r="92" spans="1:7" s="12" customFormat="1" x14ac:dyDescent="0.3">
      <c r="A92" s="12" t="s">
        <v>9</v>
      </c>
      <c r="B92" s="12" t="s">
        <v>590</v>
      </c>
      <c r="C92" s="12">
        <v>1089283</v>
      </c>
      <c r="D92" s="12" t="s">
        <v>591</v>
      </c>
      <c r="E92" s="12" t="s">
        <v>26</v>
      </c>
      <c r="F92" s="12" t="s">
        <v>592</v>
      </c>
      <c r="G92" s="40">
        <v>15000</v>
      </c>
    </row>
    <row r="93" spans="1:7" s="12" customFormat="1" x14ac:dyDescent="0.3">
      <c r="A93" s="12" t="s">
        <v>9</v>
      </c>
      <c r="B93" s="12" t="s">
        <v>593</v>
      </c>
      <c r="C93" s="12">
        <v>1089257</v>
      </c>
      <c r="D93" s="12" t="s">
        <v>586</v>
      </c>
      <c r="E93" s="12" t="s">
        <v>26</v>
      </c>
      <c r="F93" s="12" t="s">
        <v>142</v>
      </c>
      <c r="G93" s="40">
        <v>2000</v>
      </c>
    </row>
    <row r="94" spans="1:7" s="12" customFormat="1" x14ac:dyDescent="0.3">
      <c r="A94" s="12" t="s">
        <v>9</v>
      </c>
      <c r="B94" s="12" t="s">
        <v>182</v>
      </c>
      <c r="C94" s="12">
        <v>1089258</v>
      </c>
      <c r="D94" s="12" t="s">
        <v>594</v>
      </c>
      <c r="E94" s="12" t="s">
        <v>26</v>
      </c>
      <c r="F94" s="12" t="s">
        <v>184</v>
      </c>
      <c r="G94" s="40">
        <v>2500</v>
      </c>
    </row>
    <row r="95" spans="1:7" s="12" customFormat="1" x14ac:dyDescent="0.3">
      <c r="A95" s="12" t="s">
        <v>9</v>
      </c>
      <c r="B95" s="12" t="s">
        <v>297</v>
      </c>
      <c r="C95" s="12">
        <v>1089292</v>
      </c>
      <c r="D95" s="12" t="s">
        <v>567</v>
      </c>
      <c r="E95" s="12" t="s">
        <v>26</v>
      </c>
      <c r="F95" s="12" t="s">
        <v>237</v>
      </c>
      <c r="G95" s="40">
        <v>2500</v>
      </c>
    </row>
    <row r="96" spans="1:7" x14ac:dyDescent="0.3">
      <c r="A96" s="41" t="s">
        <v>185</v>
      </c>
      <c r="B96" s="41" t="s">
        <v>189</v>
      </c>
      <c r="C96" s="41">
        <v>1089252</v>
      </c>
      <c r="D96" s="41" t="s">
        <v>595</v>
      </c>
      <c r="E96" s="41" t="s">
        <v>26</v>
      </c>
      <c r="F96" s="41" t="s">
        <v>596</v>
      </c>
      <c r="G96" s="42">
        <v>6000</v>
      </c>
    </row>
    <row r="97" spans="1:7" x14ac:dyDescent="0.3">
      <c r="A97" s="41" t="s">
        <v>185</v>
      </c>
      <c r="B97" s="41" t="s">
        <v>597</v>
      </c>
      <c r="C97" s="41">
        <v>1089272</v>
      </c>
      <c r="D97" s="41" t="s">
        <v>598</v>
      </c>
      <c r="E97" s="41" t="s">
        <v>160</v>
      </c>
      <c r="F97" s="41" t="s">
        <v>124</v>
      </c>
      <c r="G97" s="42">
        <v>4000</v>
      </c>
    </row>
    <row r="98" spans="1:7" x14ac:dyDescent="0.3">
      <c r="A98" s="41" t="s">
        <v>185</v>
      </c>
      <c r="B98" s="41" t="s">
        <v>330</v>
      </c>
      <c r="C98" s="41">
        <v>1089275</v>
      </c>
      <c r="D98" s="41" t="s">
        <v>599</v>
      </c>
      <c r="E98" s="41" t="s">
        <v>26</v>
      </c>
      <c r="F98" s="41" t="s">
        <v>124</v>
      </c>
      <c r="G98" s="42">
        <v>3000</v>
      </c>
    </row>
    <row r="99" spans="1:7" x14ac:dyDescent="0.3">
      <c r="A99" s="41" t="s">
        <v>185</v>
      </c>
      <c r="B99" s="41" t="s">
        <v>205</v>
      </c>
      <c r="C99" s="41">
        <v>1089276</v>
      </c>
      <c r="D99" s="41" t="s">
        <v>600</v>
      </c>
      <c r="E99" s="41" t="s">
        <v>26</v>
      </c>
      <c r="F99" s="41" t="s">
        <v>124</v>
      </c>
      <c r="G99" s="42">
        <v>3000</v>
      </c>
    </row>
    <row r="100" spans="1:7" x14ac:dyDescent="0.3">
      <c r="A100" s="41" t="s">
        <v>185</v>
      </c>
      <c r="B100" s="41" t="s">
        <v>186</v>
      </c>
      <c r="C100" s="41">
        <v>1089324</v>
      </c>
      <c r="D100" s="41" t="s">
        <v>601</v>
      </c>
      <c r="E100" s="41" t="s">
        <v>34</v>
      </c>
      <c r="F100" s="41" t="s">
        <v>373</v>
      </c>
      <c r="G100" s="42">
        <v>2200</v>
      </c>
    </row>
    <row r="101" spans="1:7" x14ac:dyDescent="0.3">
      <c r="A101" s="41" t="s">
        <v>185</v>
      </c>
      <c r="B101" s="41" t="s">
        <v>186</v>
      </c>
      <c r="C101" s="41">
        <v>1089309</v>
      </c>
      <c r="D101" s="41" t="s">
        <v>602</v>
      </c>
      <c r="E101" s="41" t="s">
        <v>210</v>
      </c>
      <c r="F101" s="41" t="s">
        <v>373</v>
      </c>
      <c r="G101" s="42">
        <v>4000</v>
      </c>
    </row>
    <row r="102" spans="1:7" x14ac:dyDescent="0.3">
      <c r="A102" s="41" t="s">
        <v>185</v>
      </c>
      <c r="B102" s="41" t="s">
        <v>186</v>
      </c>
      <c r="C102" s="41">
        <v>1089307</v>
      </c>
      <c r="D102" s="41" t="s">
        <v>603</v>
      </c>
      <c r="E102" s="41" t="s">
        <v>210</v>
      </c>
      <c r="F102" s="41" t="s">
        <v>141</v>
      </c>
      <c r="G102" s="42">
        <v>4000</v>
      </c>
    </row>
    <row r="103" spans="1:7" x14ac:dyDescent="0.3">
      <c r="A103" s="41" t="s">
        <v>185</v>
      </c>
      <c r="B103" s="41" t="s">
        <v>295</v>
      </c>
      <c r="C103" s="41">
        <v>1089310</v>
      </c>
      <c r="D103" s="41" t="s">
        <v>604</v>
      </c>
      <c r="E103" s="41" t="s">
        <v>210</v>
      </c>
      <c r="F103" s="41" t="s">
        <v>605</v>
      </c>
      <c r="G103" s="42">
        <v>2000</v>
      </c>
    </row>
    <row r="104" spans="1:7" x14ac:dyDescent="0.3">
      <c r="A104" s="41" t="s">
        <v>185</v>
      </c>
      <c r="B104" s="41" t="s">
        <v>186</v>
      </c>
      <c r="C104" s="41">
        <v>1089305</v>
      </c>
      <c r="D104" s="41" t="s">
        <v>606</v>
      </c>
      <c r="E104" s="41" t="s">
        <v>210</v>
      </c>
      <c r="F104" s="41" t="s">
        <v>222</v>
      </c>
      <c r="G104" s="42">
        <v>2000</v>
      </c>
    </row>
    <row r="105" spans="1:7" x14ac:dyDescent="0.3">
      <c r="A105" s="41" t="s">
        <v>185</v>
      </c>
      <c r="B105" s="41" t="s">
        <v>186</v>
      </c>
      <c r="C105" s="41">
        <v>1089306</v>
      </c>
      <c r="D105" s="41" t="s">
        <v>607</v>
      </c>
      <c r="E105" s="41" t="s">
        <v>210</v>
      </c>
      <c r="F105" s="41" t="s">
        <v>222</v>
      </c>
      <c r="G105" s="42">
        <v>2000</v>
      </c>
    </row>
    <row r="106" spans="1:7" x14ac:dyDescent="0.3">
      <c r="A106" s="41" t="s">
        <v>185</v>
      </c>
      <c r="B106" s="41" t="s">
        <v>186</v>
      </c>
      <c r="C106" s="41">
        <v>1089308</v>
      </c>
      <c r="D106" s="41" t="s">
        <v>608</v>
      </c>
      <c r="E106" s="41" t="s">
        <v>210</v>
      </c>
      <c r="F106" s="41" t="s">
        <v>222</v>
      </c>
      <c r="G106" s="42">
        <v>2000</v>
      </c>
    </row>
    <row r="107" spans="1:7" x14ac:dyDescent="0.3">
      <c r="A107" s="41" t="s">
        <v>185</v>
      </c>
      <c r="B107" s="41" t="s">
        <v>186</v>
      </c>
      <c r="C107" s="41">
        <v>1089306</v>
      </c>
      <c r="D107" s="41" t="s">
        <v>607</v>
      </c>
      <c r="E107" s="41" t="s">
        <v>210</v>
      </c>
      <c r="F107" s="41" t="s">
        <v>226</v>
      </c>
      <c r="G107" s="42">
        <v>2000</v>
      </c>
    </row>
    <row r="108" spans="1:7" x14ac:dyDescent="0.3">
      <c r="A108" s="41" t="s">
        <v>185</v>
      </c>
      <c r="B108" s="41" t="s">
        <v>186</v>
      </c>
      <c r="C108" s="41">
        <v>1089309</v>
      </c>
      <c r="D108" s="41" t="s">
        <v>602</v>
      </c>
      <c r="E108" s="41" t="s">
        <v>210</v>
      </c>
      <c r="F108" s="41" t="s">
        <v>226</v>
      </c>
      <c r="G108" s="42">
        <v>2000</v>
      </c>
    </row>
    <row r="109" spans="1:7" x14ac:dyDescent="0.3">
      <c r="A109" s="41" t="s">
        <v>185</v>
      </c>
      <c r="B109" s="41" t="s">
        <v>186</v>
      </c>
      <c r="C109" s="41">
        <v>1089329</v>
      </c>
      <c r="D109" s="41" t="s">
        <v>609</v>
      </c>
      <c r="E109" s="41" t="s">
        <v>210</v>
      </c>
      <c r="F109" s="41" t="s">
        <v>226</v>
      </c>
      <c r="G109" s="42">
        <v>2000</v>
      </c>
    </row>
    <row r="110" spans="1:7" x14ac:dyDescent="0.3">
      <c r="A110" s="41" t="s">
        <v>185</v>
      </c>
      <c r="B110" s="41" t="s">
        <v>610</v>
      </c>
      <c r="C110" s="41">
        <v>1089273</v>
      </c>
      <c r="D110" s="41" t="s">
        <v>611</v>
      </c>
      <c r="E110" s="41" t="s">
        <v>160</v>
      </c>
      <c r="F110" s="41" t="s">
        <v>229</v>
      </c>
      <c r="G110" s="42">
        <v>2500</v>
      </c>
    </row>
    <row r="111" spans="1:7" x14ac:dyDescent="0.3">
      <c r="A111" s="41" t="s">
        <v>185</v>
      </c>
      <c r="B111" s="41" t="s">
        <v>612</v>
      </c>
      <c r="C111" s="41">
        <v>1089294</v>
      </c>
      <c r="D111" s="41" t="s">
        <v>613</v>
      </c>
      <c r="E111" s="41" t="s">
        <v>201</v>
      </c>
      <c r="F111" s="41" t="s">
        <v>229</v>
      </c>
      <c r="G111" s="42">
        <v>1800</v>
      </c>
    </row>
    <row r="112" spans="1:7" x14ac:dyDescent="0.3">
      <c r="A112" s="41" t="s">
        <v>185</v>
      </c>
      <c r="B112" s="41" t="s">
        <v>186</v>
      </c>
      <c r="C112" s="41">
        <v>1089307</v>
      </c>
      <c r="D112" s="41" t="s">
        <v>603</v>
      </c>
      <c r="E112" s="41" t="s">
        <v>210</v>
      </c>
      <c r="F112" s="41" t="s">
        <v>231</v>
      </c>
      <c r="G112" s="42">
        <v>2500</v>
      </c>
    </row>
    <row r="113" spans="1:7" x14ac:dyDescent="0.3">
      <c r="A113" s="41" t="s">
        <v>185</v>
      </c>
      <c r="B113" s="41" t="s">
        <v>186</v>
      </c>
      <c r="C113" s="41">
        <v>1089307</v>
      </c>
      <c r="D113" s="41" t="s">
        <v>603</v>
      </c>
      <c r="E113" s="41" t="s">
        <v>210</v>
      </c>
      <c r="F113" s="41" t="s">
        <v>237</v>
      </c>
      <c r="G113" s="42">
        <v>2000</v>
      </c>
    </row>
    <row r="114" spans="1:7" x14ac:dyDescent="0.3">
      <c r="G114" s="42">
        <f>SUM(G2:G113)</f>
        <v>997700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workbookViewId="0">
      <selection activeCell="E18" sqref="E18"/>
    </sheetView>
  </sheetViews>
  <sheetFormatPr defaultRowHeight="14.4" x14ac:dyDescent="0.3"/>
  <cols>
    <col min="2" max="2" width="21.44140625" customWidth="1"/>
    <col min="4" max="4" width="23.77734375" customWidth="1"/>
    <col min="5" max="5" width="24.21875" customWidth="1"/>
    <col min="6" max="6" width="27.77734375" customWidth="1"/>
    <col min="7" max="7" width="11.77734375" bestFit="1" customWidth="1"/>
  </cols>
  <sheetData>
    <row r="1" spans="1:10" s="4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614</v>
      </c>
      <c r="C2" s="18">
        <v>1089355</v>
      </c>
      <c r="D2" s="18" t="s">
        <v>615</v>
      </c>
      <c r="E2" s="18" t="s">
        <v>411</v>
      </c>
      <c r="F2" s="18" t="s">
        <v>51</v>
      </c>
      <c r="G2" s="27">
        <v>18000</v>
      </c>
    </row>
    <row r="3" spans="1:10" s="18" customFormat="1" x14ac:dyDescent="0.3">
      <c r="A3" s="18" t="s">
        <v>11</v>
      </c>
      <c r="B3" s="18" t="s">
        <v>395</v>
      </c>
      <c r="C3" s="18">
        <v>1089419</v>
      </c>
      <c r="D3" s="18" t="s">
        <v>616</v>
      </c>
      <c r="E3" s="18" t="s">
        <v>201</v>
      </c>
      <c r="F3" s="18" t="s">
        <v>27</v>
      </c>
      <c r="G3" s="27">
        <v>1300</v>
      </c>
    </row>
    <row r="4" spans="1:10" s="18" customFormat="1" x14ac:dyDescent="0.3">
      <c r="A4" s="18" t="s">
        <v>11</v>
      </c>
      <c r="B4" s="18" t="s">
        <v>395</v>
      </c>
      <c r="C4" s="18">
        <v>1089421</v>
      </c>
      <c r="D4" s="18" t="s">
        <v>616</v>
      </c>
      <c r="E4" s="18" t="s">
        <v>26</v>
      </c>
      <c r="F4" s="18" t="s">
        <v>27</v>
      </c>
      <c r="G4" s="27">
        <v>7700</v>
      </c>
    </row>
    <row r="5" spans="1:10" s="18" customFormat="1" x14ac:dyDescent="0.3">
      <c r="A5" s="18" t="s">
        <v>11</v>
      </c>
      <c r="B5" s="18" t="s">
        <v>617</v>
      </c>
      <c r="C5" s="18">
        <v>1089346</v>
      </c>
      <c r="D5" s="18" t="s">
        <v>618</v>
      </c>
      <c r="E5" s="18" t="s">
        <v>26</v>
      </c>
      <c r="F5" s="18" t="s">
        <v>71</v>
      </c>
      <c r="G5" s="27">
        <v>6500</v>
      </c>
    </row>
    <row r="6" spans="1:10" s="18" customFormat="1" x14ac:dyDescent="0.3">
      <c r="A6" s="18" t="s">
        <v>11</v>
      </c>
      <c r="B6" s="18" t="s">
        <v>619</v>
      </c>
      <c r="C6" s="18">
        <v>1089376</v>
      </c>
      <c r="D6" s="18" t="s">
        <v>620</v>
      </c>
      <c r="E6" s="18" t="s">
        <v>26</v>
      </c>
      <c r="F6" s="18" t="s">
        <v>621</v>
      </c>
      <c r="G6" s="27">
        <v>25000</v>
      </c>
    </row>
    <row r="7" spans="1:10" s="18" customFormat="1" x14ac:dyDescent="0.3">
      <c r="A7" s="18" t="s">
        <v>11</v>
      </c>
      <c r="B7" s="18" t="s">
        <v>622</v>
      </c>
      <c r="C7" s="18">
        <v>1089375</v>
      </c>
      <c r="D7" s="18" t="s">
        <v>623</v>
      </c>
      <c r="E7" s="18" t="s">
        <v>64</v>
      </c>
      <c r="F7" s="18" t="s">
        <v>84</v>
      </c>
      <c r="G7" s="27">
        <v>18000</v>
      </c>
    </row>
    <row r="8" spans="1:10" s="18" customFormat="1" x14ac:dyDescent="0.3">
      <c r="A8" s="18" t="s">
        <v>11</v>
      </c>
      <c r="B8" s="18" t="s">
        <v>624</v>
      </c>
      <c r="C8" s="18">
        <v>1089338</v>
      </c>
      <c r="D8" s="18" t="s">
        <v>625</v>
      </c>
      <c r="E8" s="18" t="s">
        <v>26</v>
      </c>
      <c r="F8" s="18" t="s">
        <v>195</v>
      </c>
      <c r="G8" s="27">
        <v>20000</v>
      </c>
    </row>
    <row r="9" spans="1:10" s="18" customFormat="1" x14ac:dyDescent="0.3">
      <c r="A9" s="18" t="s">
        <v>11</v>
      </c>
      <c r="B9" s="18" t="s">
        <v>626</v>
      </c>
      <c r="C9" s="18">
        <v>1089361</v>
      </c>
      <c r="D9" s="18" t="s">
        <v>627</v>
      </c>
      <c r="E9" s="18" t="s">
        <v>26</v>
      </c>
      <c r="F9" s="18" t="s">
        <v>116</v>
      </c>
      <c r="G9" s="27">
        <v>5000</v>
      </c>
      <c r="H9" s="27">
        <f>SUM(G2:G9)</f>
        <v>101500</v>
      </c>
      <c r="I9" s="18" t="e">
        <f>SUM(#REF!)</f>
        <v>#REF!</v>
      </c>
      <c r="J9" s="28" t="e">
        <f>I9/H9</f>
        <v>#REF!</v>
      </c>
    </row>
    <row r="10" spans="1:10" s="10" customFormat="1" x14ac:dyDescent="0.3">
      <c r="A10" s="10" t="s">
        <v>0</v>
      </c>
      <c r="B10" s="10" t="s">
        <v>62</v>
      </c>
      <c r="C10" s="10">
        <v>1089417</v>
      </c>
      <c r="D10" s="10" t="s">
        <v>628</v>
      </c>
      <c r="E10" s="10" t="s">
        <v>26</v>
      </c>
      <c r="F10" s="10" t="s">
        <v>566</v>
      </c>
      <c r="G10" s="29">
        <v>13000</v>
      </c>
    </row>
    <row r="11" spans="1:10" s="10" customFormat="1" x14ac:dyDescent="0.3">
      <c r="A11" s="10" t="s">
        <v>0</v>
      </c>
      <c r="B11" s="10" t="s">
        <v>629</v>
      </c>
      <c r="C11" s="10">
        <v>1089359</v>
      </c>
      <c r="D11" s="10" t="s">
        <v>630</v>
      </c>
      <c r="E11" s="10" t="s">
        <v>26</v>
      </c>
      <c r="F11" s="10" t="s">
        <v>51</v>
      </c>
      <c r="G11" s="29">
        <v>15000</v>
      </c>
    </row>
    <row r="12" spans="1:10" s="10" customFormat="1" x14ac:dyDescent="0.3">
      <c r="A12" s="10" t="s">
        <v>0</v>
      </c>
      <c r="B12" s="10" t="s">
        <v>271</v>
      </c>
      <c r="C12" s="10">
        <v>1089389</v>
      </c>
      <c r="D12" s="10" t="s">
        <v>631</v>
      </c>
      <c r="E12" s="10" t="s">
        <v>26</v>
      </c>
      <c r="F12" s="10" t="s">
        <v>51</v>
      </c>
      <c r="G12" s="29">
        <v>15000</v>
      </c>
    </row>
    <row r="13" spans="1:10" s="10" customFormat="1" x14ac:dyDescent="0.3">
      <c r="A13" s="10" t="s">
        <v>0</v>
      </c>
      <c r="B13" s="10" t="s">
        <v>271</v>
      </c>
      <c r="C13" s="10">
        <v>1089412</v>
      </c>
      <c r="D13" s="10" t="s">
        <v>632</v>
      </c>
      <c r="E13" s="10" t="s">
        <v>26</v>
      </c>
      <c r="F13" s="10" t="s">
        <v>51</v>
      </c>
      <c r="G13" s="29">
        <v>15000</v>
      </c>
    </row>
    <row r="14" spans="1:10" s="10" customFormat="1" x14ac:dyDescent="0.3">
      <c r="A14" s="10" t="s">
        <v>0</v>
      </c>
      <c r="B14" s="10" t="s">
        <v>273</v>
      </c>
      <c r="C14" s="10">
        <v>1089341</v>
      </c>
      <c r="D14" s="10" t="s">
        <v>633</v>
      </c>
      <c r="E14" s="10" t="s">
        <v>198</v>
      </c>
      <c r="F14" s="10" t="s">
        <v>54</v>
      </c>
      <c r="G14" s="29">
        <v>13000</v>
      </c>
    </row>
    <row r="15" spans="1:10" s="10" customFormat="1" x14ac:dyDescent="0.3">
      <c r="A15" s="10" t="s">
        <v>0</v>
      </c>
      <c r="B15" s="10" t="s">
        <v>634</v>
      </c>
      <c r="C15" s="10">
        <v>1089411</v>
      </c>
      <c r="D15" s="10" t="s">
        <v>635</v>
      </c>
      <c r="E15" s="10" t="s">
        <v>26</v>
      </c>
      <c r="F15" s="10" t="s">
        <v>54</v>
      </c>
      <c r="G15" s="29">
        <v>14000</v>
      </c>
    </row>
    <row r="16" spans="1:10" s="10" customFormat="1" x14ac:dyDescent="0.3">
      <c r="A16" s="10" t="s">
        <v>0</v>
      </c>
      <c r="B16" s="10" t="s">
        <v>636</v>
      </c>
      <c r="C16" s="10">
        <v>1089344</v>
      </c>
      <c r="D16" s="10" t="s">
        <v>637</v>
      </c>
      <c r="E16" s="10" t="s">
        <v>26</v>
      </c>
      <c r="F16" s="10" t="s">
        <v>266</v>
      </c>
      <c r="G16" s="29">
        <v>15000</v>
      </c>
    </row>
    <row r="17" spans="1:7" s="10" customFormat="1" x14ac:dyDescent="0.3">
      <c r="A17" s="10" t="s">
        <v>0</v>
      </c>
      <c r="B17" s="10" t="s">
        <v>638</v>
      </c>
      <c r="C17" s="10">
        <v>1089351</v>
      </c>
      <c r="D17" s="10" t="s">
        <v>639</v>
      </c>
      <c r="E17" s="10" t="s">
        <v>26</v>
      </c>
      <c r="F17" s="10" t="s">
        <v>71</v>
      </c>
      <c r="G17" s="29">
        <v>6500</v>
      </c>
    </row>
    <row r="18" spans="1:7" s="10" customFormat="1" x14ac:dyDescent="0.3">
      <c r="A18" s="10" t="s">
        <v>0</v>
      </c>
      <c r="B18" s="10" t="s">
        <v>640</v>
      </c>
      <c r="C18" s="10">
        <v>1089367</v>
      </c>
      <c r="D18" s="10" t="s">
        <v>641</v>
      </c>
      <c r="E18" s="10" t="s">
        <v>26</v>
      </c>
      <c r="F18" s="10" t="s">
        <v>71</v>
      </c>
      <c r="G18" s="29">
        <v>6500</v>
      </c>
    </row>
    <row r="19" spans="1:7" s="10" customFormat="1" x14ac:dyDescent="0.3">
      <c r="A19" s="10" t="s">
        <v>0</v>
      </c>
      <c r="B19" s="10" t="s">
        <v>642</v>
      </c>
      <c r="C19" s="10">
        <v>1089335</v>
      </c>
      <c r="D19" s="10" t="s">
        <v>643</v>
      </c>
      <c r="E19" s="10" t="s">
        <v>26</v>
      </c>
      <c r="F19" s="10" t="s">
        <v>270</v>
      </c>
      <c r="G19" s="29">
        <v>40000</v>
      </c>
    </row>
    <row r="20" spans="1:7" s="10" customFormat="1" x14ac:dyDescent="0.3">
      <c r="A20" s="10" t="s">
        <v>0</v>
      </c>
      <c r="B20" s="10" t="s">
        <v>644</v>
      </c>
      <c r="C20" s="10">
        <v>1089370</v>
      </c>
      <c r="D20" s="10" t="s">
        <v>645</v>
      </c>
      <c r="E20" s="10" t="s">
        <v>160</v>
      </c>
      <c r="F20" s="10" t="s">
        <v>394</v>
      </c>
      <c r="G20" s="29">
        <v>35000</v>
      </c>
    </row>
    <row r="21" spans="1:7" s="10" customFormat="1" x14ac:dyDescent="0.3">
      <c r="A21" s="10" t="s">
        <v>0</v>
      </c>
      <c r="B21" s="10" t="s">
        <v>375</v>
      </c>
      <c r="C21" s="10">
        <v>1089396</v>
      </c>
      <c r="D21" s="10" t="s">
        <v>646</v>
      </c>
      <c r="E21" s="10" t="s">
        <v>26</v>
      </c>
      <c r="F21" s="10" t="s">
        <v>647</v>
      </c>
      <c r="G21" s="29">
        <v>40000</v>
      </c>
    </row>
    <row r="22" spans="1:7" s="10" customFormat="1" x14ac:dyDescent="0.3">
      <c r="A22" s="10" t="s">
        <v>0</v>
      </c>
      <c r="B22" s="10" t="s">
        <v>648</v>
      </c>
      <c r="C22" s="10">
        <v>1089340</v>
      </c>
      <c r="D22" s="10" t="s">
        <v>649</v>
      </c>
      <c r="E22" s="10" t="s">
        <v>160</v>
      </c>
      <c r="F22" s="10" t="s">
        <v>74</v>
      </c>
      <c r="G22" s="29">
        <v>19000</v>
      </c>
    </row>
    <row r="23" spans="1:7" s="10" customFormat="1" x14ac:dyDescent="0.3">
      <c r="A23" s="10" t="s">
        <v>0</v>
      </c>
      <c r="B23" s="10" t="s">
        <v>650</v>
      </c>
      <c r="C23" s="10">
        <v>1089342</v>
      </c>
      <c r="D23" s="10" t="s">
        <v>651</v>
      </c>
      <c r="E23" s="10" t="s">
        <v>652</v>
      </c>
      <c r="F23" s="10" t="s">
        <v>74</v>
      </c>
      <c r="G23" s="29">
        <v>22000</v>
      </c>
    </row>
    <row r="24" spans="1:7" s="10" customFormat="1" x14ac:dyDescent="0.3">
      <c r="A24" s="10" t="s">
        <v>0</v>
      </c>
      <c r="B24" s="10" t="s">
        <v>117</v>
      </c>
      <c r="C24" s="10">
        <v>1089404</v>
      </c>
      <c r="D24" s="10" t="s">
        <v>653</v>
      </c>
      <c r="E24" s="10" t="s">
        <v>26</v>
      </c>
      <c r="F24" s="10" t="s">
        <v>74</v>
      </c>
      <c r="G24" s="29">
        <v>20000</v>
      </c>
    </row>
    <row r="25" spans="1:7" s="10" customFormat="1" x14ac:dyDescent="0.3">
      <c r="A25" s="10" t="s">
        <v>0</v>
      </c>
      <c r="B25" s="10" t="s">
        <v>90</v>
      </c>
      <c r="C25" s="10">
        <v>1089407</v>
      </c>
      <c r="D25" s="10" t="s">
        <v>654</v>
      </c>
      <c r="E25" s="10" t="s">
        <v>26</v>
      </c>
      <c r="F25" s="10" t="s">
        <v>74</v>
      </c>
      <c r="G25" s="29">
        <v>20000</v>
      </c>
    </row>
    <row r="26" spans="1:7" s="10" customFormat="1" ht="14.25" customHeight="1" x14ac:dyDescent="0.3">
      <c r="A26" s="10" t="s">
        <v>0</v>
      </c>
      <c r="B26" s="10" t="s">
        <v>72</v>
      </c>
      <c r="C26" s="10">
        <v>1089354</v>
      </c>
      <c r="D26" s="10" t="s">
        <v>655</v>
      </c>
      <c r="E26" s="10" t="s">
        <v>26</v>
      </c>
      <c r="F26" s="10" t="s">
        <v>74</v>
      </c>
      <c r="G26" s="29">
        <v>20000</v>
      </c>
    </row>
    <row r="27" spans="1:7" s="10" customFormat="1" x14ac:dyDescent="0.3">
      <c r="A27" s="10" t="s">
        <v>0</v>
      </c>
      <c r="B27" s="10" t="s">
        <v>656</v>
      </c>
      <c r="C27" s="10">
        <v>1089399</v>
      </c>
      <c r="D27" s="10" t="s">
        <v>657</v>
      </c>
      <c r="E27" s="10" t="s">
        <v>26</v>
      </c>
      <c r="F27" s="10" t="s">
        <v>74</v>
      </c>
      <c r="G27" s="29">
        <v>20000</v>
      </c>
    </row>
    <row r="28" spans="1:7" s="10" customFormat="1" x14ac:dyDescent="0.3">
      <c r="A28" s="10" t="s">
        <v>0</v>
      </c>
      <c r="B28" s="10" t="s">
        <v>658</v>
      </c>
      <c r="C28" s="10">
        <v>1089402</v>
      </c>
      <c r="D28" s="10" t="s">
        <v>659</v>
      </c>
      <c r="E28" s="10" t="s">
        <v>201</v>
      </c>
      <c r="F28" s="10" t="s">
        <v>316</v>
      </c>
      <c r="G28" s="29">
        <v>21000</v>
      </c>
    </row>
    <row r="29" spans="1:7" s="10" customFormat="1" x14ac:dyDescent="0.3">
      <c r="A29" s="10" t="s">
        <v>0</v>
      </c>
      <c r="B29" s="10" t="s">
        <v>660</v>
      </c>
      <c r="C29" s="10">
        <v>1089378</v>
      </c>
      <c r="D29" s="10" t="s">
        <v>661</v>
      </c>
      <c r="E29" s="10" t="s">
        <v>34</v>
      </c>
      <c r="F29" s="10" t="s">
        <v>483</v>
      </c>
      <c r="G29" s="29">
        <v>20000</v>
      </c>
    </row>
    <row r="30" spans="1:7" s="10" customFormat="1" x14ac:dyDescent="0.3">
      <c r="A30" s="10" t="s">
        <v>0</v>
      </c>
      <c r="B30" s="10" t="s">
        <v>367</v>
      </c>
      <c r="C30" s="10">
        <v>1089385</v>
      </c>
      <c r="D30" s="10" t="s">
        <v>662</v>
      </c>
      <c r="E30" s="10" t="s">
        <v>482</v>
      </c>
      <c r="F30" s="10" t="s">
        <v>663</v>
      </c>
      <c r="G30" s="29">
        <v>19000</v>
      </c>
    </row>
    <row r="31" spans="1:7" s="10" customFormat="1" x14ac:dyDescent="0.3">
      <c r="A31" s="10" t="s">
        <v>0</v>
      </c>
      <c r="B31" s="10" t="s">
        <v>367</v>
      </c>
      <c r="C31" s="10">
        <v>1089382</v>
      </c>
      <c r="D31" s="10" t="s">
        <v>664</v>
      </c>
      <c r="E31" s="10" t="s">
        <v>482</v>
      </c>
      <c r="F31" s="10" t="s">
        <v>39</v>
      </c>
      <c r="G31" s="29">
        <v>20000</v>
      </c>
    </row>
    <row r="32" spans="1:7" s="10" customFormat="1" x14ac:dyDescent="0.3">
      <c r="A32" s="10" t="s">
        <v>0</v>
      </c>
      <c r="B32" s="10" t="s">
        <v>665</v>
      </c>
      <c r="C32" s="10">
        <v>1089416</v>
      </c>
      <c r="D32" s="10" t="s">
        <v>666</v>
      </c>
      <c r="E32" s="10" t="s">
        <v>201</v>
      </c>
      <c r="F32" s="10" t="s">
        <v>39</v>
      </c>
      <c r="G32" s="29">
        <v>21000</v>
      </c>
    </row>
    <row r="33" spans="1:7" s="10" customFormat="1" x14ac:dyDescent="0.3">
      <c r="A33" s="10" t="s">
        <v>0</v>
      </c>
      <c r="B33" s="10" t="s">
        <v>667</v>
      </c>
      <c r="C33" s="10">
        <v>1089390</v>
      </c>
      <c r="D33" s="10" t="s">
        <v>668</v>
      </c>
      <c r="E33" s="10" t="s">
        <v>79</v>
      </c>
      <c r="F33" s="10" t="s">
        <v>39</v>
      </c>
      <c r="G33" s="29">
        <v>22000</v>
      </c>
    </row>
    <row r="34" spans="1:7" s="10" customFormat="1" x14ac:dyDescent="0.3">
      <c r="A34" s="10" t="s">
        <v>0</v>
      </c>
      <c r="B34" s="10" t="s">
        <v>669</v>
      </c>
      <c r="C34" s="10">
        <v>1089334</v>
      </c>
      <c r="D34" s="10" t="s">
        <v>670</v>
      </c>
      <c r="E34" s="10" t="s">
        <v>26</v>
      </c>
      <c r="F34" s="10" t="s">
        <v>84</v>
      </c>
      <c r="G34" s="29">
        <v>20000</v>
      </c>
    </row>
    <row r="35" spans="1:7" s="10" customFormat="1" x14ac:dyDescent="0.3">
      <c r="A35" s="10" t="s">
        <v>0</v>
      </c>
      <c r="B35" s="10" t="s">
        <v>135</v>
      </c>
      <c r="C35" s="10">
        <v>1089422</v>
      </c>
      <c r="D35" s="10" t="s">
        <v>671</v>
      </c>
      <c r="E35" s="10" t="s">
        <v>201</v>
      </c>
      <c r="F35" s="10" t="s">
        <v>84</v>
      </c>
      <c r="G35" s="29">
        <v>21000</v>
      </c>
    </row>
    <row r="36" spans="1:7" s="10" customFormat="1" x14ac:dyDescent="0.3">
      <c r="A36" s="10" t="s">
        <v>0</v>
      </c>
      <c r="B36" s="10" t="s">
        <v>672</v>
      </c>
      <c r="C36" s="10">
        <v>1089425</v>
      </c>
      <c r="D36" s="10" t="s">
        <v>673</v>
      </c>
      <c r="E36" s="10" t="s">
        <v>26</v>
      </c>
      <c r="F36" s="10" t="s">
        <v>45</v>
      </c>
      <c r="G36" s="29">
        <v>25000</v>
      </c>
    </row>
    <row r="37" spans="1:7" s="10" customFormat="1" x14ac:dyDescent="0.3">
      <c r="A37" s="10" t="s">
        <v>0</v>
      </c>
      <c r="B37" s="10" t="s">
        <v>658</v>
      </c>
      <c r="C37" s="10">
        <v>1089402</v>
      </c>
      <c r="D37" s="10" t="s">
        <v>659</v>
      </c>
      <c r="E37" s="10" t="s">
        <v>201</v>
      </c>
      <c r="F37" s="10" t="s">
        <v>195</v>
      </c>
      <c r="G37" s="29">
        <v>24000</v>
      </c>
    </row>
    <row r="38" spans="1:7" s="10" customFormat="1" x14ac:dyDescent="0.3">
      <c r="A38" s="10" t="s">
        <v>0</v>
      </c>
      <c r="B38" s="10" t="s">
        <v>674</v>
      </c>
      <c r="C38" s="10">
        <v>1089398</v>
      </c>
      <c r="D38" s="10" t="s">
        <v>675</v>
      </c>
      <c r="E38" s="10" t="s">
        <v>198</v>
      </c>
      <c r="F38" s="10" t="s">
        <v>195</v>
      </c>
      <c r="G38" s="29">
        <v>26000</v>
      </c>
    </row>
    <row r="39" spans="1:7" s="10" customFormat="1" x14ac:dyDescent="0.3">
      <c r="A39" s="10" t="s">
        <v>0</v>
      </c>
      <c r="B39" s="10" t="s">
        <v>367</v>
      </c>
      <c r="C39" s="10">
        <v>1089385</v>
      </c>
      <c r="D39" s="10" t="s">
        <v>662</v>
      </c>
      <c r="E39" s="10" t="s">
        <v>482</v>
      </c>
      <c r="F39" s="10" t="s">
        <v>199</v>
      </c>
      <c r="G39" s="29">
        <v>19000</v>
      </c>
    </row>
    <row r="40" spans="1:7" s="10" customFormat="1" x14ac:dyDescent="0.3">
      <c r="A40" s="10" t="s">
        <v>0</v>
      </c>
      <c r="B40" s="10" t="s">
        <v>72</v>
      </c>
      <c r="C40" s="10">
        <v>1089354</v>
      </c>
      <c r="D40" s="10" t="s">
        <v>655</v>
      </c>
      <c r="E40" s="10" t="s">
        <v>26</v>
      </c>
      <c r="F40" s="10" t="s">
        <v>155</v>
      </c>
      <c r="G40" s="29">
        <v>20000</v>
      </c>
    </row>
    <row r="41" spans="1:7" s="10" customFormat="1" x14ac:dyDescent="0.3">
      <c r="A41" s="10" t="s">
        <v>0</v>
      </c>
      <c r="B41" s="10" t="s">
        <v>676</v>
      </c>
      <c r="C41" s="10">
        <v>1089337</v>
      </c>
      <c r="D41" s="10" t="s">
        <v>677</v>
      </c>
      <c r="E41" s="10" t="s">
        <v>26</v>
      </c>
      <c r="F41" s="10" t="s">
        <v>104</v>
      </c>
      <c r="G41" s="29">
        <v>3000</v>
      </c>
    </row>
    <row r="42" spans="1:7" s="10" customFormat="1" x14ac:dyDescent="0.3">
      <c r="A42" s="10" t="s">
        <v>0</v>
      </c>
      <c r="B42" s="10" t="s">
        <v>271</v>
      </c>
      <c r="C42" s="10">
        <v>1089420</v>
      </c>
      <c r="D42" s="10" t="s">
        <v>678</v>
      </c>
      <c r="E42" s="10" t="s">
        <v>26</v>
      </c>
      <c r="F42" s="10" t="s">
        <v>104</v>
      </c>
      <c r="G42" s="29">
        <v>3000</v>
      </c>
    </row>
    <row r="43" spans="1:7" s="10" customFormat="1" x14ac:dyDescent="0.3">
      <c r="A43" s="10" t="s">
        <v>0</v>
      </c>
      <c r="B43" s="10" t="s">
        <v>77</v>
      </c>
      <c r="C43" s="10">
        <v>1089350</v>
      </c>
      <c r="D43" s="10" t="s">
        <v>679</v>
      </c>
      <c r="E43" s="10" t="s">
        <v>26</v>
      </c>
      <c r="F43" s="10" t="s">
        <v>110</v>
      </c>
      <c r="G43" s="29">
        <v>6000</v>
      </c>
    </row>
    <row r="44" spans="1:7" s="10" customFormat="1" x14ac:dyDescent="0.3">
      <c r="A44" s="10" t="s">
        <v>0</v>
      </c>
      <c r="B44" s="10" t="s">
        <v>680</v>
      </c>
      <c r="C44" s="10">
        <v>1089365</v>
      </c>
      <c r="D44" s="10" t="s">
        <v>681</v>
      </c>
      <c r="E44" s="10" t="s">
        <v>26</v>
      </c>
      <c r="F44" s="10" t="s">
        <v>110</v>
      </c>
      <c r="G44" s="29">
        <v>6000</v>
      </c>
    </row>
    <row r="45" spans="1:7" s="10" customFormat="1" x14ac:dyDescent="0.3">
      <c r="A45" s="10" t="s">
        <v>0</v>
      </c>
      <c r="B45" s="10" t="s">
        <v>114</v>
      </c>
      <c r="C45" s="10">
        <v>1089372</v>
      </c>
      <c r="D45" s="10" t="s">
        <v>682</v>
      </c>
      <c r="E45" s="10" t="s">
        <v>26</v>
      </c>
      <c r="F45" s="10" t="s">
        <v>113</v>
      </c>
      <c r="G45" s="29">
        <v>4000</v>
      </c>
    </row>
    <row r="46" spans="1:7" s="10" customFormat="1" x14ac:dyDescent="0.3">
      <c r="A46" s="10" t="s">
        <v>0</v>
      </c>
      <c r="B46" s="10" t="s">
        <v>683</v>
      </c>
      <c r="C46" s="10">
        <v>1089357</v>
      </c>
      <c r="D46" s="10" t="s">
        <v>684</v>
      </c>
      <c r="E46" s="10" t="s">
        <v>26</v>
      </c>
      <c r="F46" s="10" t="s">
        <v>124</v>
      </c>
      <c r="G46" s="29">
        <v>3000</v>
      </c>
    </row>
    <row r="47" spans="1:7" s="10" customFormat="1" x14ac:dyDescent="0.3">
      <c r="A47" s="10" t="s">
        <v>0</v>
      </c>
      <c r="B47" s="10" t="s">
        <v>130</v>
      </c>
      <c r="C47" s="10">
        <v>1089358</v>
      </c>
      <c r="D47" s="10" t="s">
        <v>685</v>
      </c>
      <c r="E47" s="10" t="s">
        <v>26</v>
      </c>
      <c r="F47" s="10" t="s">
        <v>124</v>
      </c>
      <c r="G47" s="29">
        <v>3000</v>
      </c>
    </row>
    <row r="48" spans="1:7" s="10" customFormat="1" x14ac:dyDescent="0.3">
      <c r="A48" s="10" t="s">
        <v>0</v>
      </c>
      <c r="B48" s="10" t="s">
        <v>127</v>
      </c>
      <c r="C48" s="10">
        <v>1089395</v>
      </c>
      <c r="D48" s="10" t="s">
        <v>686</v>
      </c>
      <c r="E48" s="10" t="s">
        <v>34</v>
      </c>
      <c r="F48" s="10" t="s">
        <v>124</v>
      </c>
      <c r="G48" s="29">
        <v>4000</v>
      </c>
    </row>
    <row r="49" spans="1:7" s="10" customFormat="1" x14ac:dyDescent="0.3">
      <c r="A49" s="10" t="s">
        <v>0</v>
      </c>
      <c r="B49" s="10" t="s">
        <v>130</v>
      </c>
      <c r="C49" s="10">
        <v>1089403</v>
      </c>
      <c r="D49" s="10" t="s">
        <v>687</v>
      </c>
      <c r="E49" s="10" t="s">
        <v>201</v>
      </c>
      <c r="F49" s="10" t="s">
        <v>124</v>
      </c>
      <c r="G49" s="29">
        <v>4000</v>
      </c>
    </row>
    <row r="50" spans="1:7" s="10" customFormat="1" x14ac:dyDescent="0.3">
      <c r="A50" s="10" t="s">
        <v>0</v>
      </c>
      <c r="B50" s="10" t="s">
        <v>127</v>
      </c>
      <c r="C50" s="10">
        <v>1089426</v>
      </c>
      <c r="D50" s="10" t="s">
        <v>688</v>
      </c>
      <c r="E50" s="10" t="s">
        <v>160</v>
      </c>
      <c r="F50" s="10" t="s">
        <v>129</v>
      </c>
      <c r="G50" s="29">
        <v>4000</v>
      </c>
    </row>
    <row r="51" spans="1:7" s="10" customFormat="1" x14ac:dyDescent="0.3">
      <c r="A51" s="10" t="s">
        <v>0</v>
      </c>
      <c r="B51" s="10" t="s">
        <v>127</v>
      </c>
      <c r="C51" s="10">
        <v>1089429</v>
      </c>
      <c r="D51" s="10" t="s">
        <v>689</v>
      </c>
      <c r="E51" s="10" t="s">
        <v>64</v>
      </c>
      <c r="F51" s="10" t="s">
        <v>129</v>
      </c>
      <c r="G51" s="29">
        <v>4000</v>
      </c>
    </row>
    <row r="52" spans="1:7" s="10" customFormat="1" x14ac:dyDescent="0.3">
      <c r="A52" s="10" t="s">
        <v>0</v>
      </c>
      <c r="B52" s="10" t="s">
        <v>127</v>
      </c>
      <c r="C52" s="10">
        <v>1089381</v>
      </c>
      <c r="D52" s="10" t="s">
        <v>690</v>
      </c>
      <c r="E52" s="10" t="s">
        <v>201</v>
      </c>
      <c r="F52" s="10" t="s">
        <v>129</v>
      </c>
      <c r="G52" s="29">
        <v>4000</v>
      </c>
    </row>
    <row r="53" spans="1:7" s="10" customFormat="1" x14ac:dyDescent="0.3">
      <c r="A53" s="10" t="s">
        <v>0</v>
      </c>
      <c r="B53" s="10" t="s">
        <v>130</v>
      </c>
      <c r="C53" s="10">
        <v>1089349</v>
      </c>
      <c r="D53" s="10" t="s">
        <v>691</v>
      </c>
      <c r="E53" s="10" t="s">
        <v>201</v>
      </c>
      <c r="F53" s="10" t="s">
        <v>134</v>
      </c>
      <c r="G53" s="29">
        <v>4000</v>
      </c>
    </row>
    <row r="54" spans="1:7" s="10" customFormat="1" x14ac:dyDescent="0.3">
      <c r="A54" s="10" t="s">
        <v>0</v>
      </c>
      <c r="B54" s="10" t="s">
        <v>692</v>
      </c>
      <c r="C54" s="10">
        <v>1089384</v>
      </c>
      <c r="D54" s="10" t="s">
        <v>693</v>
      </c>
      <c r="E54" s="10" t="s">
        <v>26</v>
      </c>
      <c r="F54" s="10" t="s">
        <v>139</v>
      </c>
      <c r="G54" s="29">
        <v>8000</v>
      </c>
    </row>
    <row r="55" spans="1:7" s="10" customFormat="1" x14ac:dyDescent="0.3">
      <c r="A55" s="10" t="s">
        <v>0</v>
      </c>
      <c r="B55" s="10" t="s">
        <v>694</v>
      </c>
      <c r="C55" s="10">
        <v>1089424</v>
      </c>
      <c r="D55" s="10" t="s">
        <v>695</v>
      </c>
      <c r="E55" s="10" t="s">
        <v>34</v>
      </c>
      <c r="F55" s="10" t="s">
        <v>292</v>
      </c>
      <c r="G55" s="29">
        <v>4000</v>
      </c>
    </row>
    <row r="56" spans="1:7" s="10" customFormat="1" x14ac:dyDescent="0.3">
      <c r="A56" s="10" t="s">
        <v>0</v>
      </c>
      <c r="B56" s="10" t="s">
        <v>135</v>
      </c>
      <c r="C56" s="10">
        <v>1089364</v>
      </c>
      <c r="D56" s="10" t="s">
        <v>696</v>
      </c>
      <c r="E56" s="10" t="s">
        <v>26</v>
      </c>
      <c r="F56" s="10" t="s">
        <v>373</v>
      </c>
      <c r="G56" s="29">
        <v>5000</v>
      </c>
    </row>
    <row r="57" spans="1:7" s="10" customFormat="1" x14ac:dyDescent="0.3">
      <c r="A57" s="10" t="s">
        <v>0</v>
      </c>
      <c r="B57" s="10" t="s">
        <v>697</v>
      </c>
      <c r="C57" s="10">
        <v>1089368</v>
      </c>
      <c r="D57" s="10" t="s">
        <v>698</v>
      </c>
      <c r="E57" s="10" t="s">
        <v>26</v>
      </c>
      <c r="F57" s="10" t="s">
        <v>373</v>
      </c>
      <c r="G57" s="29">
        <v>5000</v>
      </c>
    </row>
    <row r="58" spans="1:7" s="10" customFormat="1" x14ac:dyDescent="0.3">
      <c r="A58" s="10" t="s">
        <v>0</v>
      </c>
      <c r="B58" s="10" t="s">
        <v>699</v>
      </c>
      <c r="C58" s="10">
        <v>1089380</v>
      </c>
      <c r="D58" s="10" t="s">
        <v>700</v>
      </c>
      <c r="E58" s="10" t="s">
        <v>26</v>
      </c>
      <c r="F58" s="10" t="s">
        <v>373</v>
      </c>
      <c r="G58" s="29">
        <v>5000</v>
      </c>
    </row>
    <row r="59" spans="1:7" s="10" customFormat="1" x14ac:dyDescent="0.3">
      <c r="A59" s="10" t="s">
        <v>0</v>
      </c>
      <c r="B59" s="10" t="s">
        <v>697</v>
      </c>
      <c r="C59" s="10">
        <v>1089368</v>
      </c>
      <c r="D59" s="10" t="s">
        <v>698</v>
      </c>
      <c r="E59" s="10" t="s">
        <v>26</v>
      </c>
      <c r="F59" s="10" t="s">
        <v>551</v>
      </c>
      <c r="G59" s="29">
        <v>5000</v>
      </c>
    </row>
    <row r="60" spans="1:7" s="10" customFormat="1" x14ac:dyDescent="0.3">
      <c r="A60" s="10" t="s">
        <v>0</v>
      </c>
      <c r="B60" s="10" t="s">
        <v>135</v>
      </c>
      <c r="C60" s="10">
        <v>1089364</v>
      </c>
      <c r="D60" s="10" t="s">
        <v>696</v>
      </c>
      <c r="E60" s="10" t="s">
        <v>26</v>
      </c>
      <c r="F60" s="10" t="s">
        <v>701</v>
      </c>
      <c r="G60" s="29">
        <v>5000</v>
      </c>
    </row>
    <row r="61" spans="1:7" s="10" customFormat="1" x14ac:dyDescent="0.3">
      <c r="A61" s="10" t="s">
        <v>0</v>
      </c>
      <c r="B61" s="10" t="s">
        <v>367</v>
      </c>
      <c r="C61" s="10">
        <v>1089387</v>
      </c>
      <c r="D61" s="10" t="s">
        <v>702</v>
      </c>
      <c r="E61" s="10" t="s">
        <v>79</v>
      </c>
      <c r="F61" s="10" t="s">
        <v>701</v>
      </c>
      <c r="G61" s="29">
        <v>2500</v>
      </c>
    </row>
    <row r="62" spans="1:7" s="10" customFormat="1" x14ac:dyDescent="0.3">
      <c r="A62" s="10" t="s">
        <v>0</v>
      </c>
      <c r="B62" s="10" t="s">
        <v>703</v>
      </c>
      <c r="C62" s="10">
        <v>1089336</v>
      </c>
      <c r="D62" s="10" t="s">
        <v>704</v>
      </c>
      <c r="E62" s="10" t="s">
        <v>26</v>
      </c>
      <c r="F62" s="10" t="s">
        <v>141</v>
      </c>
      <c r="G62" s="29">
        <v>5000</v>
      </c>
    </row>
    <row r="63" spans="1:7" s="10" customFormat="1" x14ac:dyDescent="0.3">
      <c r="A63" s="10" t="s">
        <v>0</v>
      </c>
      <c r="B63" s="10" t="s">
        <v>367</v>
      </c>
      <c r="C63" s="10">
        <v>1089387</v>
      </c>
      <c r="D63" s="10" t="s">
        <v>702</v>
      </c>
      <c r="E63" s="10" t="s">
        <v>79</v>
      </c>
      <c r="F63" s="10" t="s">
        <v>141</v>
      </c>
      <c r="G63" s="29">
        <v>2500</v>
      </c>
    </row>
    <row r="64" spans="1:7" s="10" customFormat="1" x14ac:dyDescent="0.3">
      <c r="A64" s="10" t="s">
        <v>0</v>
      </c>
      <c r="B64" s="10" t="s">
        <v>135</v>
      </c>
      <c r="C64" s="10">
        <v>1089430</v>
      </c>
      <c r="D64" s="10" t="s">
        <v>705</v>
      </c>
      <c r="E64" s="10" t="s">
        <v>26</v>
      </c>
      <c r="F64" s="10" t="s">
        <v>141</v>
      </c>
      <c r="G64" s="29">
        <v>5000</v>
      </c>
    </row>
    <row r="65" spans="1:7" s="10" customFormat="1" x14ac:dyDescent="0.3">
      <c r="A65" s="10" t="s">
        <v>0</v>
      </c>
      <c r="B65" s="10" t="s">
        <v>135</v>
      </c>
      <c r="C65" s="10">
        <v>1089433</v>
      </c>
      <c r="D65" s="10" t="s">
        <v>706</v>
      </c>
      <c r="E65" s="10" t="s">
        <v>26</v>
      </c>
      <c r="F65" s="10" t="s">
        <v>141</v>
      </c>
      <c r="G65" s="29">
        <v>5000</v>
      </c>
    </row>
    <row r="66" spans="1:7" s="10" customFormat="1" x14ac:dyDescent="0.3">
      <c r="A66" s="10" t="s">
        <v>0</v>
      </c>
      <c r="B66" s="10" t="s">
        <v>135</v>
      </c>
      <c r="C66" s="10">
        <v>1089427</v>
      </c>
      <c r="D66" s="10" t="s">
        <v>707</v>
      </c>
      <c r="E66" s="10" t="s">
        <v>26</v>
      </c>
      <c r="F66" s="10" t="s">
        <v>141</v>
      </c>
      <c r="G66" s="29">
        <v>5000</v>
      </c>
    </row>
    <row r="67" spans="1:7" s="10" customFormat="1" x14ac:dyDescent="0.3">
      <c r="A67" s="10" t="s">
        <v>0</v>
      </c>
      <c r="B67" s="10" t="s">
        <v>135</v>
      </c>
      <c r="C67" s="10">
        <v>1089433</v>
      </c>
      <c r="D67" s="10" t="s">
        <v>706</v>
      </c>
      <c r="E67" s="10" t="s">
        <v>26</v>
      </c>
      <c r="F67" s="10" t="s">
        <v>327</v>
      </c>
      <c r="G67" s="29">
        <v>5000</v>
      </c>
    </row>
    <row r="68" spans="1:7" s="10" customFormat="1" x14ac:dyDescent="0.3">
      <c r="A68" s="10" t="s">
        <v>0</v>
      </c>
      <c r="B68" s="10" t="s">
        <v>367</v>
      </c>
      <c r="C68" s="10">
        <v>1089387</v>
      </c>
      <c r="D68" s="10" t="s">
        <v>702</v>
      </c>
      <c r="E68" s="10" t="s">
        <v>79</v>
      </c>
      <c r="F68" s="10" t="s">
        <v>708</v>
      </c>
      <c r="G68" s="29">
        <v>2500</v>
      </c>
    </row>
    <row r="69" spans="1:7" s="10" customFormat="1" x14ac:dyDescent="0.3">
      <c r="A69" s="10" t="s">
        <v>0</v>
      </c>
      <c r="B69" s="10" t="s">
        <v>709</v>
      </c>
      <c r="C69" s="10">
        <v>1089392</v>
      </c>
      <c r="D69" s="10" t="s">
        <v>710</v>
      </c>
      <c r="E69" s="10" t="s">
        <v>26</v>
      </c>
      <c r="F69" s="10" t="s">
        <v>555</v>
      </c>
      <c r="G69" s="29">
        <v>2500</v>
      </c>
    </row>
    <row r="70" spans="1:7" s="10" customFormat="1" x14ac:dyDescent="0.3">
      <c r="A70" s="10" t="s">
        <v>0</v>
      </c>
      <c r="B70" s="10" t="s">
        <v>135</v>
      </c>
      <c r="C70" s="10">
        <v>1089430</v>
      </c>
      <c r="D70" s="10" t="s">
        <v>705</v>
      </c>
      <c r="E70" s="10" t="s">
        <v>26</v>
      </c>
      <c r="F70" s="10" t="s">
        <v>555</v>
      </c>
      <c r="G70" s="29">
        <v>2500</v>
      </c>
    </row>
    <row r="71" spans="1:7" s="10" customFormat="1" x14ac:dyDescent="0.3">
      <c r="A71" s="10" t="s">
        <v>0</v>
      </c>
      <c r="B71" s="10" t="s">
        <v>135</v>
      </c>
      <c r="C71" s="10">
        <v>1089433</v>
      </c>
      <c r="D71" s="10" t="s">
        <v>706</v>
      </c>
      <c r="E71" s="10" t="s">
        <v>26</v>
      </c>
      <c r="F71" s="10" t="s">
        <v>555</v>
      </c>
      <c r="G71" s="29">
        <v>2500</v>
      </c>
    </row>
    <row r="72" spans="1:7" s="10" customFormat="1" x14ac:dyDescent="0.3">
      <c r="A72" s="10" t="s">
        <v>0</v>
      </c>
      <c r="B72" s="10" t="s">
        <v>77</v>
      </c>
      <c r="C72" s="10">
        <v>1089353</v>
      </c>
      <c r="D72" s="10" t="s">
        <v>711</v>
      </c>
      <c r="E72" s="10" t="s">
        <v>26</v>
      </c>
      <c r="F72" s="10" t="s">
        <v>142</v>
      </c>
      <c r="G72" s="29">
        <v>2000</v>
      </c>
    </row>
    <row r="73" spans="1:7" s="10" customFormat="1" x14ac:dyDescent="0.3">
      <c r="A73" s="10" t="s">
        <v>0</v>
      </c>
      <c r="B73" s="10" t="s">
        <v>712</v>
      </c>
      <c r="C73" s="10">
        <v>1089406</v>
      </c>
      <c r="D73" s="10" t="s">
        <v>713</v>
      </c>
      <c r="E73" s="10" t="s">
        <v>26</v>
      </c>
      <c r="F73" s="10" t="s">
        <v>142</v>
      </c>
      <c r="G73" s="29">
        <v>2000</v>
      </c>
    </row>
    <row r="74" spans="1:7" s="10" customFormat="1" x14ac:dyDescent="0.3">
      <c r="A74" s="10" t="s">
        <v>0</v>
      </c>
      <c r="B74" s="10" t="s">
        <v>367</v>
      </c>
      <c r="C74" s="10">
        <v>1089386</v>
      </c>
      <c r="D74" s="10" t="s">
        <v>702</v>
      </c>
      <c r="E74" s="10" t="s">
        <v>79</v>
      </c>
      <c r="F74" s="10" t="s">
        <v>150</v>
      </c>
      <c r="G74" s="29">
        <v>1800</v>
      </c>
    </row>
    <row r="75" spans="1:7" s="10" customFormat="1" x14ac:dyDescent="0.3">
      <c r="A75" s="10" t="s">
        <v>0</v>
      </c>
      <c r="B75" s="10" t="s">
        <v>135</v>
      </c>
      <c r="C75" s="10">
        <v>1089364</v>
      </c>
      <c r="D75" s="10" t="s">
        <v>696</v>
      </c>
      <c r="E75" s="10" t="s">
        <v>26</v>
      </c>
      <c r="F75" s="10" t="s">
        <v>226</v>
      </c>
      <c r="G75" s="29">
        <v>2500</v>
      </c>
    </row>
    <row r="76" spans="1:7" s="10" customFormat="1" x14ac:dyDescent="0.3">
      <c r="A76" s="10" t="s">
        <v>0</v>
      </c>
      <c r="B76" s="10" t="s">
        <v>665</v>
      </c>
      <c r="C76" s="10">
        <v>1089416</v>
      </c>
      <c r="D76" s="10" t="s">
        <v>666</v>
      </c>
      <c r="E76" s="10" t="s">
        <v>201</v>
      </c>
      <c r="F76" s="10" t="s">
        <v>226</v>
      </c>
      <c r="G76" s="29">
        <v>1800</v>
      </c>
    </row>
    <row r="77" spans="1:7" s="10" customFormat="1" x14ac:dyDescent="0.3">
      <c r="A77" s="10" t="s">
        <v>0</v>
      </c>
      <c r="B77" s="10" t="s">
        <v>367</v>
      </c>
      <c r="C77" s="10">
        <v>1089386</v>
      </c>
      <c r="D77" s="10" t="s">
        <v>702</v>
      </c>
      <c r="E77" s="10" t="s">
        <v>79</v>
      </c>
      <c r="F77" s="10" t="s">
        <v>226</v>
      </c>
      <c r="G77" s="29">
        <v>1800</v>
      </c>
    </row>
    <row r="78" spans="1:7" s="10" customFormat="1" x14ac:dyDescent="0.3">
      <c r="A78" s="10" t="s">
        <v>0</v>
      </c>
      <c r="B78" s="10" t="s">
        <v>293</v>
      </c>
      <c r="C78" s="10">
        <v>1089377</v>
      </c>
      <c r="D78" s="10" t="s">
        <v>714</v>
      </c>
      <c r="E78" s="10" t="s">
        <v>26</v>
      </c>
      <c r="F78" s="10" t="s">
        <v>184</v>
      </c>
      <c r="G78" s="29">
        <v>2500</v>
      </c>
    </row>
    <row r="79" spans="1:7" s="10" customFormat="1" x14ac:dyDescent="0.3">
      <c r="A79" s="10" t="s">
        <v>0</v>
      </c>
      <c r="B79" s="10" t="s">
        <v>72</v>
      </c>
      <c r="C79" s="10">
        <v>1089348</v>
      </c>
      <c r="D79" s="10" t="s">
        <v>715</v>
      </c>
      <c r="E79" s="10" t="s">
        <v>26</v>
      </c>
      <c r="F79" s="10" t="s">
        <v>231</v>
      </c>
      <c r="G79" s="29">
        <v>2500</v>
      </c>
    </row>
    <row r="80" spans="1:7" s="10" customFormat="1" x14ac:dyDescent="0.3">
      <c r="A80" s="10" t="s">
        <v>0</v>
      </c>
      <c r="B80" s="10" t="s">
        <v>697</v>
      </c>
      <c r="C80" s="10">
        <v>1089368</v>
      </c>
      <c r="D80" s="10" t="s">
        <v>698</v>
      </c>
      <c r="E80" s="10" t="s">
        <v>26</v>
      </c>
      <c r="F80" s="10" t="s">
        <v>231</v>
      </c>
      <c r="G80" s="29">
        <v>2500</v>
      </c>
    </row>
    <row r="81" spans="1:7" s="10" customFormat="1" x14ac:dyDescent="0.3">
      <c r="A81" s="10" t="s">
        <v>0</v>
      </c>
      <c r="B81" s="10" t="s">
        <v>135</v>
      </c>
      <c r="C81" s="10">
        <v>1089422</v>
      </c>
      <c r="D81" s="10" t="s">
        <v>671</v>
      </c>
      <c r="E81" s="10" t="s">
        <v>201</v>
      </c>
      <c r="F81" s="10" t="s">
        <v>231</v>
      </c>
      <c r="G81" s="29">
        <v>2500</v>
      </c>
    </row>
    <row r="82" spans="1:7" s="10" customFormat="1" x14ac:dyDescent="0.3">
      <c r="A82" s="10" t="s">
        <v>0</v>
      </c>
      <c r="B82" s="10" t="s">
        <v>135</v>
      </c>
      <c r="C82" s="10">
        <v>1089430</v>
      </c>
      <c r="D82" s="10" t="s">
        <v>705</v>
      </c>
      <c r="E82" s="10" t="s">
        <v>26</v>
      </c>
      <c r="F82" s="10" t="s">
        <v>231</v>
      </c>
      <c r="G82" s="29">
        <v>2500</v>
      </c>
    </row>
    <row r="83" spans="1:7" s="10" customFormat="1" x14ac:dyDescent="0.3">
      <c r="A83" s="10" t="s">
        <v>0</v>
      </c>
      <c r="B83" s="10" t="s">
        <v>135</v>
      </c>
      <c r="C83" s="10">
        <v>1089427</v>
      </c>
      <c r="D83" s="10" t="s">
        <v>707</v>
      </c>
      <c r="E83" s="10" t="s">
        <v>26</v>
      </c>
      <c r="F83" s="10" t="s">
        <v>231</v>
      </c>
      <c r="G83" s="29">
        <v>2500</v>
      </c>
    </row>
    <row r="84" spans="1:7" s="10" customFormat="1" x14ac:dyDescent="0.3">
      <c r="A84" s="10" t="s">
        <v>0</v>
      </c>
      <c r="B84" s="10" t="s">
        <v>72</v>
      </c>
      <c r="C84" s="10">
        <v>1089371</v>
      </c>
      <c r="D84" s="10" t="s">
        <v>716</v>
      </c>
      <c r="E84" s="10" t="s">
        <v>26</v>
      </c>
      <c r="F84" s="10" t="s">
        <v>233</v>
      </c>
      <c r="G84" s="29">
        <v>2500</v>
      </c>
    </row>
    <row r="85" spans="1:7" s="10" customFormat="1" x14ac:dyDescent="0.3">
      <c r="A85" s="10" t="s">
        <v>0</v>
      </c>
      <c r="B85" s="10" t="s">
        <v>367</v>
      </c>
      <c r="C85" s="10">
        <v>1089386</v>
      </c>
      <c r="D85" s="10" t="s">
        <v>702</v>
      </c>
      <c r="E85" s="10" t="s">
        <v>79</v>
      </c>
      <c r="F85" s="10" t="s">
        <v>563</v>
      </c>
      <c r="G85" s="29">
        <v>1800</v>
      </c>
    </row>
    <row r="86" spans="1:7" s="23" customFormat="1" x14ac:dyDescent="0.3">
      <c r="A86" s="23" t="s">
        <v>9</v>
      </c>
      <c r="B86" s="23" t="s">
        <v>717</v>
      </c>
      <c r="C86" s="23">
        <v>1089343</v>
      </c>
      <c r="D86" s="23" t="s">
        <v>718</v>
      </c>
      <c r="E86" s="23" t="s">
        <v>26</v>
      </c>
      <c r="F86" s="23" t="s">
        <v>719</v>
      </c>
      <c r="G86" s="30">
        <v>15000</v>
      </c>
    </row>
    <row r="87" spans="1:7" s="44" customFormat="1" x14ac:dyDescent="0.3">
      <c r="A87" s="23" t="s">
        <v>9</v>
      </c>
      <c r="B87" s="23" t="s">
        <v>720</v>
      </c>
      <c r="C87" s="23">
        <v>1089347</v>
      </c>
      <c r="D87" s="23" t="s">
        <v>721</v>
      </c>
      <c r="E87" s="23" t="s">
        <v>26</v>
      </c>
      <c r="F87" s="23" t="s">
        <v>27</v>
      </c>
      <c r="G87" s="30">
        <v>12000</v>
      </c>
    </row>
    <row r="88" spans="1:7" s="23" customFormat="1" x14ac:dyDescent="0.3">
      <c r="A88" s="23" t="s">
        <v>9</v>
      </c>
      <c r="B88" s="23" t="s">
        <v>722</v>
      </c>
      <c r="C88" s="23">
        <v>1089388</v>
      </c>
      <c r="D88" s="23" t="s">
        <v>724</v>
      </c>
      <c r="E88" s="23" t="s">
        <v>26</v>
      </c>
      <c r="F88" s="23" t="s">
        <v>65</v>
      </c>
      <c r="G88" s="30">
        <v>12000</v>
      </c>
    </row>
    <row r="89" spans="1:7" s="23" customFormat="1" x14ac:dyDescent="0.3">
      <c r="A89" s="23" t="s">
        <v>9</v>
      </c>
      <c r="B89" s="23" t="s">
        <v>725</v>
      </c>
      <c r="C89" s="23">
        <v>1089369</v>
      </c>
      <c r="D89" s="23" t="s">
        <v>726</v>
      </c>
      <c r="E89" s="23" t="s">
        <v>26</v>
      </c>
      <c r="F89" s="23" t="s">
        <v>353</v>
      </c>
      <c r="G89" s="30">
        <v>27000</v>
      </c>
    </row>
    <row r="90" spans="1:7" s="23" customFormat="1" x14ac:dyDescent="0.3">
      <c r="A90" s="23" t="s">
        <v>9</v>
      </c>
      <c r="B90" s="23" t="s">
        <v>727</v>
      </c>
      <c r="C90" s="23">
        <v>1089410</v>
      </c>
      <c r="D90" s="23" t="s">
        <v>728</v>
      </c>
      <c r="E90" s="23" t="s">
        <v>64</v>
      </c>
      <c r="F90" s="23" t="s">
        <v>353</v>
      </c>
      <c r="G90" s="30">
        <v>27000</v>
      </c>
    </row>
    <row r="91" spans="1:7" s="23" customFormat="1" x14ac:dyDescent="0.3">
      <c r="A91" s="23" t="s">
        <v>9</v>
      </c>
      <c r="B91" s="23" t="s">
        <v>471</v>
      </c>
      <c r="C91" s="23">
        <v>1089415</v>
      </c>
      <c r="D91" s="23" t="s">
        <v>729</v>
      </c>
      <c r="E91" s="23" t="s">
        <v>201</v>
      </c>
      <c r="F91" s="23" t="s">
        <v>316</v>
      </c>
      <c r="G91" s="30">
        <v>21000</v>
      </c>
    </row>
    <row r="92" spans="1:7" s="23" customFormat="1" x14ac:dyDescent="0.3">
      <c r="A92" s="23" t="s">
        <v>9</v>
      </c>
      <c r="B92" s="23" t="s">
        <v>730</v>
      </c>
      <c r="C92" s="23">
        <v>1089434</v>
      </c>
      <c r="D92" s="23" t="s">
        <v>731</v>
      </c>
      <c r="E92" s="23" t="s">
        <v>60</v>
      </c>
      <c r="F92" s="23" t="s">
        <v>335</v>
      </c>
      <c r="G92" s="30">
        <v>18000</v>
      </c>
    </row>
    <row r="93" spans="1:7" s="23" customFormat="1" x14ac:dyDescent="0.3">
      <c r="A93" s="23" t="s">
        <v>9</v>
      </c>
      <c r="B93" s="23" t="s">
        <v>162</v>
      </c>
      <c r="C93" s="23">
        <v>1089366</v>
      </c>
      <c r="D93" s="23" t="s">
        <v>732</v>
      </c>
      <c r="E93" s="23" t="s">
        <v>201</v>
      </c>
      <c r="F93" s="23" t="s">
        <v>39</v>
      </c>
      <c r="G93" s="30">
        <v>21000</v>
      </c>
    </row>
    <row r="94" spans="1:7" s="23" customFormat="1" x14ac:dyDescent="0.3">
      <c r="A94" s="23" t="s">
        <v>9</v>
      </c>
      <c r="B94" s="23" t="s">
        <v>580</v>
      </c>
      <c r="C94" s="23">
        <v>1089363</v>
      </c>
      <c r="D94" s="23" t="s">
        <v>733</v>
      </c>
      <c r="E94" s="23" t="s">
        <v>26</v>
      </c>
      <c r="F94" s="23" t="s">
        <v>84</v>
      </c>
      <c r="G94" s="30">
        <v>20000</v>
      </c>
    </row>
    <row r="95" spans="1:7" s="23" customFormat="1" x14ac:dyDescent="0.3">
      <c r="A95" s="23" t="s">
        <v>9</v>
      </c>
      <c r="B95" s="23" t="s">
        <v>471</v>
      </c>
      <c r="C95" s="23">
        <v>1089373</v>
      </c>
      <c r="D95" s="23" t="s">
        <v>734</v>
      </c>
      <c r="E95" s="23" t="s">
        <v>26</v>
      </c>
      <c r="F95" s="23" t="s">
        <v>84</v>
      </c>
      <c r="G95" s="30">
        <v>20000</v>
      </c>
    </row>
    <row r="96" spans="1:7" s="23" customFormat="1" x14ac:dyDescent="0.3">
      <c r="A96" s="23" t="s">
        <v>9</v>
      </c>
      <c r="B96" s="23" t="s">
        <v>735</v>
      </c>
      <c r="C96" s="23">
        <v>1089352</v>
      </c>
      <c r="D96" s="23" t="s">
        <v>736</v>
      </c>
      <c r="E96" s="23" t="s">
        <v>26</v>
      </c>
      <c r="F96" s="23" t="s">
        <v>280</v>
      </c>
      <c r="G96" s="30">
        <v>38000</v>
      </c>
    </row>
    <row r="97" spans="1:10" s="23" customFormat="1" x14ac:dyDescent="0.3">
      <c r="A97" s="23" t="s">
        <v>9</v>
      </c>
      <c r="B97" s="23" t="s">
        <v>174</v>
      </c>
      <c r="C97" s="23">
        <v>1089423</v>
      </c>
      <c r="D97" s="23" t="s">
        <v>737</v>
      </c>
      <c r="E97" s="23" t="s">
        <v>26</v>
      </c>
      <c r="F97" s="23" t="s">
        <v>98</v>
      </c>
      <c r="G97" s="30">
        <v>25400</v>
      </c>
    </row>
    <row r="98" spans="1:10" s="23" customFormat="1" x14ac:dyDescent="0.3">
      <c r="A98" s="23" t="s">
        <v>9</v>
      </c>
      <c r="B98" s="23" t="s">
        <v>722</v>
      </c>
      <c r="C98" s="23">
        <v>1089388</v>
      </c>
      <c r="D98" s="23" t="s">
        <v>724</v>
      </c>
      <c r="E98" s="23" t="s">
        <v>26</v>
      </c>
      <c r="F98" s="23" t="s">
        <v>119</v>
      </c>
      <c r="G98" s="30">
        <v>3000</v>
      </c>
    </row>
    <row r="99" spans="1:10" s="23" customFormat="1" x14ac:dyDescent="0.3">
      <c r="A99" s="23" t="s">
        <v>9</v>
      </c>
      <c r="B99" s="23" t="s">
        <v>174</v>
      </c>
      <c r="C99" s="23">
        <v>1089393</v>
      </c>
      <c r="D99" s="23" t="s">
        <v>738</v>
      </c>
      <c r="E99" s="23" t="s">
        <v>26</v>
      </c>
      <c r="F99" s="23" t="s">
        <v>207</v>
      </c>
      <c r="G99" s="30">
        <v>3000</v>
      </c>
    </row>
    <row r="100" spans="1:10" s="23" customFormat="1" x14ac:dyDescent="0.3">
      <c r="A100" s="23" t="s">
        <v>9</v>
      </c>
      <c r="B100" s="23" t="s">
        <v>739</v>
      </c>
      <c r="C100" s="23">
        <v>1089409</v>
      </c>
      <c r="D100" s="23" t="s">
        <v>740</v>
      </c>
      <c r="E100" s="23" t="s">
        <v>160</v>
      </c>
      <c r="F100" s="23" t="s">
        <v>701</v>
      </c>
      <c r="G100" s="30">
        <v>5000</v>
      </c>
    </row>
    <row r="101" spans="1:10" s="23" customFormat="1" x14ac:dyDescent="0.3">
      <c r="A101" s="23" t="s">
        <v>9</v>
      </c>
      <c r="B101" s="23" t="s">
        <v>739</v>
      </c>
      <c r="C101" s="23">
        <v>1089409</v>
      </c>
      <c r="D101" s="23" t="s">
        <v>740</v>
      </c>
      <c r="E101" s="23" t="s">
        <v>160</v>
      </c>
      <c r="F101" s="23" t="s">
        <v>327</v>
      </c>
      <c r="G101" s="30">
        <v>5000</v>
      </c>
    </row>
    <row r="102" spans="1:10" s="23" customFormat="1" x14ac:dyDescent="0.3">
      <c r="A102" s="23" t="s">
        <v>9</v>
      </c>
      <c r="B102" s="23" t="s">
        <v>739</v>
      </c>
      <c r="C102" s="23">
        <v>1089409</v>
      </c>
      <c r="D102" s="23" t="s">
        <v>740</v>
      </c>
      <c r="E102" s="23" t="s">
        <v>160</v>
      </c>
      <c r="F102" s="23" t="s">
        <v>555</v>
      </c>
      <c r="G102" s="30">
        <v>2500</v>
      </c>
    </row>
    <row r="103" spans="1:10" s="23" customFormat="1" x14ac:dyDescent="0.3">
      <c r="A103" s="23" t="s">
        <v>9</v>
      </c>
      <c r="B103" s="23" t="s">
        <v>471</v>
      </c>
      <c r="C103" s="23">
        <v>1089415</v>
      </c>
      <c r="D103" s="23" t="s">
        <v>729</v>
      </c>
      <c r="E103" s="23" t="s">
        <v>201</v>
      </c>
      <c r="F103" s="23" t="s">
        <v>555</v>
      </c>
      <c r="G103" s="30">
        <v>2500</v>
      </c>
    </row>
    <row r="104" spans="1:10" s="23" customFormat="1" x14ac:dyDescent="0.3">
      <c r="A104" s="23" t="s">
        <v>9</v>
      </c>
      <c r="B104" s="23" t="s">
        <v>722</v>
      </c>
      <c r="C104" s="23">
        <v>1089388</v>
      </c>
      <c r="D104" s="23" t="s">
        <v>724</v>
      </c>
      <c r="E104" s="23" t="s">
        <v>26</v>
      </c>
      <c r="F104" s="23" t="s">
        <v>142</v>
      </c>
      <c r="G104" s="30">
        <v>2000</v>
      </c>
    </row>
    <row r="105" spans="1:10" s="23" customFormat="1" x14ac:dyDescent="0.3">
      <c r="A105" s="23" t="s">
        <v>9</v>
      </c>
      <c r="B105" s="23" t="s">
        <v>741</v>
      </c>
      <c r="C105" s="23">
        <v>1089339</v>
      </c>
      <c r="D105" s="23" t="s">
        <v>742</v>
      </c>
      <c r="E105" s="23" t="s">
        <v>26</v>
      </c>
      <c r="F105" s="23" t="s">
        <v>184</v>
      </c>
      <c r="G105" s="30">
        <v>2500</v>
      </c>
    </row>
    <row r="106" spans="1:10" s="23" customFormat="1" x14ac:dyDescent="0.3">
      <c r="A106" s="23" t="s">
        <v>9</v>
      </c>
      <c r="B106" s="23" t="s">
        <v>471</v>
      </c>
      <c r="C106" s="23">
        <v>1089373</v>
      </c>
      <c r="D106" s="23" t="s">
        <v>734</v>
      </c>
      <c r="E106" s="23" t="s">
        <v>26</v>
      </c>
      <c r="F106" s="23" t="s">
        <v>231</v>
      </c>
      <c r="G106" s="30">
        <v>2500</v>
      </c>
    </row>
    <row r="107" spans="1:10" s="23" customFormat="1" x14ac:dyDescent="0.3">
      <c r="A107" s="23" t="s">
        <v>9</v>
      </c>
      <c r="B107" s="23" t="s">
        <v>743</v>
      </c>
      <c r="C107" s="23">
        <v>1089379</v>
      </c>
      <c r="D107" s="23" t="s">
        <v>744</v>
      </c>
      <c r="E107" s="23" t="s">
        <v>44</v>
      </c>
      <c r="F107" s="23" t="s">
        <v>231</v>
      </c>
      <c r="G107" s="30">
        <v>2500</v>
      </c>
    </row>
    <row r="108" spans="1:10" s="23" customFormat="1" x14ac:dyDescent="0.3">
      <c r="A108" s="23" t="s">
        <v>9</v>
      </c>
      <c r="B108" s="23" t="s">
        <v>739</v>
      </c>
      <c r="C108" s="23">
        <v>1089409</v>
      </c>
      <c r="D108" s="23" t="s">
        <v>740</v>
      </c>
      <c r="E108" s="23" t="s">
        <v>160</v>
      </c>
      <c r="F108" s="23" t="s">
        <v>231</v>
      </c>
      <c r="G108" s="30">
        <v>3000</v>
      </c>
    </row>
    <row r="109" spans="1:10" s="23" customFormat="1" x14ac:dyDescent="0.3">
      <c r="A109" s="23" t="s">
        <v>9</v>
      </c>
      <c r="B109" s="23" t="s">
        <v>739</v>
      </c>
      <c r="C109" s="23">
        <v>1089409</v>
      </c>
      <c r="D109" s="23" t="s">
        <v>740</v>
      </c>
      <c r="E109" s="23" t="s">
        <v>160</v>
      </c>
      <c r="F109" s="23" t="s">
        <v>745</v>
      </c>
      <c r="G109" s="30">
        <v>2000</v>
      </c>
      <c r="H109" s="30">
        <f>SUM(G86:G109)</f>
        <v>291900</v>
      </c>
      <c r="I109" s="23" t="e">
        <f>SUM(#REF!)</f>
        <v>#REF!</v>
      </c>
      <c r="J109" s="45" t="e">
        <f>I109/H109</f>
        <v>#REF!</v>
      </c>
    </row>
    <row r="110" spans="1:10" x14ac:dyDescent="0.3">
      <c r="A110" t="s">
        <v>746</v>
      </c>
      <c r="B110" t="s">
        <v>747</v>
      </c>
      <c r="C110">
        <v>1089414</v>
      </c>
      <c r="D110" t="s">
        <v>748</v>
      </c>
      <c r="E110" t="s">
        <v>26</v>
      </c>
      <c r="F110" t="s">
        <v>749</v>
      </c>
      <c r="G110" s="31">
        <v>12000</v>
      </c>
    </row>
    <row r="111" spans="1:10" x14ac:dyDescent="0.3">
      <c r="A111" t="s">
        <v>746</v>
      </c>
      <c r="B111" t="s">
        <v>747</v>
      </c>
      <c r="C111">
        <v>1089414</v>
      </c>
      <c r="D111" t="s">
        <v>748</v>
      </c>
      <c r="E111" t="s">
        <v>26</v>
      </c>
      <c r="F111" t="s">
        <v>259</v>
      </c>
      <c r="G111" s="31">
        <v>12000</v>
      </c>
    </row>
    <row r="112" spans="1:10" x14ac:dyDescent="0.3">
      <c r="A112" t="s">
        <v>746</v>
      </c>
      <c r="B112" t="s">
        <v>747</v>
      </c>
      <c r="C112">
        <v>1089414</v>
      </c>
      <c r="D112" t="s">
        <v>748</v>
      </c>
      <c r="E112" t="s">
        <v>26</v>
      </c>
      <c r="F112" t="s">
        <v>750</v>
      </c>
      <c r="G112" s="31">
        <v>12000</v>
      </c>
    </row>
    <row r="113" spans="1:7" x14ac:dyDescent="0.3">
      <c r="A113" t="s">
        <v>185</v>
      </c>
      <c r="B113" t="s">
        <v>186</v>
      </c>
      <c r="C113">
        <v>1089400</v>
      </c>
      <c r="D113" t="s">
        <v>751</v>
      </c>
      <c r="E113" t="s">
        <v>482</v>
      </c>
      <c r="F113" t="s">
        <v>39</v>
      </c>
      <c r="G113" s="31">
        <v>20000</v>
      </c>
    </row>
    <row r="114" spans="1:7" x14ac:dyDescent="0.3">
      <c r="A114" t="s">
        <v>185</v>
      </c>
      <c r="B114" t="s">
        <v>186</v>
      </c>
      <c r="C114">
        <v>1089401</v>
      </c>
      <c r="D114" t="s">
        <v>752</v>
      </c>
      <c r="E114" t="s">
        <v>26</v>
      </c>
      <c r="F114" t="s">
        <v>92</v>
      </c>
      <c r="G114" s="31">
        <v>28000</v>
      </c>
    </row>
    <row r="115" spans="1:7" x14ac:dyDescent="0.3">
      <c r="A115" t="s">
        <v>185</v>
      </c>
      <c r="B115" t="s">
        <v>753</v>
      </c>
      <c r="C115">
        <v>1089413</v>
      </c>
      <c r="D115" t="s">
        <v>754</v>
      </c>
      <c r="E115" t="s">
        <v>26</v>
      </c>
      <c r="F115" t="s">
        <v>110</v>
      </c>
      <c r="G115" s="31">
        <v>6000</v>
      </c>
    </row>
    <row r="116" spans="1:7" x14ac:dyDescent="0.3">
      <c r="A116" t="s">
        <v>185</v>
      </c>
      <c r="B116" t="s">
        <v>755</v>
      </c>
      <c r="C116">
        <v>1089345</v>
      </c>
      <c r="D116" t="s">
        <v>756</v>
      </c>
      <c r="E116" t="s">
        <v>26</v>
      </c>
      <c r="F116" t="s">
        <v>124</v>
      </c>
      <c r="G116" s="31">
        <v>3000</v>
      </c>
    </row>
    <row r="117" spans="1:7" x14ac:dyDescent="0.3">
      <c r="A117" t="s">
        <v>185</v>
      </c>
      <c r="B117" t="s">
        <v>189</v>
      </c>
      <c r="C117">
        <v>1089356</v>
      </c>
      <c r="D117" t="s">
        <v>757</v>
      </c>
      <c r="E117" t="s">
        <v>26</v>
      </c>
      <c r="F117" t="s">
        <v>124</v>
      </c>
      <c r="G117" s="31">
        <v>3000</v>
      </c>
    </row>
    <row r="118" spans="1:7" x14ac:dyDescent="0.3">
      <c r="A118" t="s">
        <v>185</v>
      </c>
      <c r="B118" t="s">
        <v>758</v>
      </c>
      <c r="C118">
        <v>1089360</v>
      </c>
      <c r="D118" t="s">
        <v>759</v>
      </c>
      <c r="E118" t="s">
        <v>26</v>
      </c>
      <c r="F118" t="s">
        <v>124</v>
      </c>
      <c r="G118" s="31">
        <v>3000</v>
      </c>
    </row>
    <row r="119" spans="1:7" x14ac:dyDescent="0.3">
      <c r="A119" t="s">
        <v>185</v>
      </c>
      <c r="B119" t="s">
        <v>205</v>
      </c>
      <c r="C119">
        <v>1089408</v>
      </c>
      <c r="D119" t="s">
        <v>760</v>
      </c>
      <c r="E119" t="s">
        <v>26</v>
      </c>
      <c r="F119" t="s">
        <v>207</v>
      </c>
      <c r="G119" s="31">
        <v>3000</v>
      </c>
    </row>
    <row r="120" spans="1:7" x14ac:dyDescent="0.3">
      <c r="A120" t="s">
        <v>185</v>
      </c>
      <c r="B120" t="s">
        <v>761</v>
      </c>
      <c r="C120">
        <v>1089446</v>
      </c>
      <c r="D120" t="s">
        <v>762</v>
      </c>
      <c r="E120" t="s">
        <v>210</v>
      </c>
      <c r="F120" t="s">
        <v>211</v>
      </c>
      <c r="G120" s="31">
        <v>2000</v>
      </c>
    </row>
    <row r="121" spans="1:7" x14ac:dyDescent="0.3">
      <c r="A121" t="s">
        <v>185</v>
      </c>
      <c r="B121" t="s">
        <v>186</v>
      </c>
      <c r="C121">
        <v>1089418</v>
      </c>
      <c r="D121" t="s">
        <v>607</v>
      </c>
      <c r="E121" t="s">
        <v>210</v>
      </c>
      <c r="F121" t="s">
        <v>211</v>
      </c>
      <c r="G121" s="31">
        <v>2000</v>
      </c>
    </row>
    <row r="122" spans="1:7" x14ac:dyDescent="0.3">
      <c r="A122" t="s">
        <v>185</v>
      </c>
      <c r="B122" t="s">
        <v>186</v>
      </c>
      <c r="C122">
        <v>1089431</v>
      </c>
      <c r="D122" t="s">
        <v>763</v>
      </c>
      <c r="E122" t="s">
        <v>210</v>
      </c>
      <c r="F122" t="s">
        <v>373</v>
      </c>
      <c r="G122" s="31">
        <v>4000</v>
      </c>
    </row>
    <row r="123" spans="1:7" x14ac:dyDescent="0.3">
      <c r="A123" t="s">
        <v>185</v>
      </c>
      <c r="B123" t="s">
        <v>186</v>
      </c>
      <c r="C123">
        <v>1089436</v>
      </c>
      <c r="D123" t="s">
        <v>764</v>
      </c>
      <c r="E123" t="s">
        <v>210</v>
      </c>
      <c r="F123" t="s">
        <v>373</v>
      </c>
      <c r="G123" s="31">
        <v>4000</v>
      </c>
    </row>
    <row r="124" spans="1:7" x14ac:dyDescent="0.3">
      <c r="A124" t="s">
        <v>185</v>
      </c>
      <c r="B124" t="s">
        <v>186</v>
      </c>
      <c r="C124">
        <v>1089445</v>
      </c>
      <c r="D124" t="s">
        <v>765</v>
      </c>
      <c r="E124" t="s">
        <v>210</v>
      </c>
      <c r="F124" t="s">
        <v>766</v>
      </c>
      <c r="G124" s="31">
        <v>2000</v>
      </c>
    </row>
    <row r="125" spans="1:7" x14ac:dyDescent="0.3">
      <c r="A125" t="s">
        <v>185</v>
      </c>
      <c r="B125" t="s">
        <v>186</v>
      </c>
      <c r="C125">
        <v>1089440</v>
      </c>
      <c r="D125" t="s">
        <v>767</v>
      </c>
      <c r="E125" t="s">
        <v>210</v>
      </c>
      <c r="F125" t="s">
        <v>141</v>
      </c>
      <c r="G125" s="31">
        <v>4000</v>
      </c>
    </row>
    <row r="126" spans="1:7" x14ac:dyDescent="0.3">
      <c r="A126" t="s">
        <v>185</v>
      </c>
      <c r="B126" t="s">
        <v>186</v>
      </c>
      <c r="C126">
        <v>1089441</v>
      </c>
      <c r="D126" t="s">
        <v>768</v>
      </c>
      <c r="E126" t="s">
        <v>210</v>
      </c>
      <c r="F126" t="s">
        <v>141</v>
      </c>
      <c r="G126" s="31">
        <v>4000</v>
      </c>
    </row>
    <row r="127" spans="1:7" x14ac:dyDescent="0.3">
      <c r="A127" t="s">
        <v>185</v>
      </c>
      <c r="B127" t="s">
        <v>186</v>
      </c>
      <c r="C127">
        <v>1089443</v>
      </c>
      <c r="D127" t="s">
        <v>769</v>
      </c>
      <c r="E127" t="s">
        <v>210</v>
      </c>
      <c r="F127" t="s">
        <v>141</v>
      </c>
      <c r="G127" s="31">
        <v>4000</v>
      </c>
    </row>
    <row r="128" spans="1:7" x14ac:dyDescent="0.3">
      <c r="A128" t="s">
        <v>185</v>
      </c>
      <c r="B128" t="s">
        <v>186</v>
      </c>
      <c r="C128">
        <v>1089394</v>
      </c>
      <c r="D128" t="s">
        <v>770</v>
      </c>
      <c r="E128" t="s">
        <v>60</v>
      </c>
      <c r="F128" t="s">
        <v>141</v>
      </c>
      <c r="G128" s="31">
        <v>2500</v>
      </c>
    </row>
    <row r="129" spans="1:7" x14ac:dyDescent="0.3">
      <c r="A129" t="s">
        <v>185</v>
      </c>
      <c r="B129" t="s">
        <v>186</v>
      </c>
      <c r="C129">
        <v>1089435</v>
      </c>
      <c r="D129" t="s">
        <v>670</v>
      </c>
      <c r="E129" t="s">
        <v>210</v>
      </c>
      <c r="F129" t="s">
        <v>555</v>
      </c>
      <c r="G129" s="31">
        <v>2500</v>
      </c>
    </row>
    <row r="130" spans="1:7" x14ac:dyDescent="0.3">
      <c r="A130" t="s">
        <v>185</v>
      </c>
      <c r="B130" t="s">
        <v>186</v>
      </c>
      <c r="C130">
        <v>1089440</v>
      </c>
      <c r="D130" t="s">
        <v>767</v>
      </c>
      <c r="E130" t="s">
        <v>210</v>
      </c>
      <c r="F130" t="s">
        <v>555</v>
      </c>
      <c r="G130" s="31">
        <v>2500</v>
      </c>
    </row>
    <row r="131" spans="1:7" x14ac:dyDescent="0.3">
      <c r="A131" t="s">
        <v>185</v>
      </c>
      <c r="B131" t="s">
        <v>196</v>
      </c>
      <c r="C131">
        <v>1089444</v>
      </c>
      <c r="D131" t="s">
        <v>771</v>
      </c>
      <c r="E131" t="s">
        <v>210</v>
      </c>
      <c r="F131" t="s">
        <v>142</v>
      </c>
      <c r="G131" s="31">
        <v>2000</v>
      </c>
    </row>
    <row r="132" spans="1:7" x14ac:dyDescent="0.3">
      <c r="A132" t="s">
        <v>185</v>
      </c>
      <c r="B132" t="s">
        <v>186</v>
      </c>
      <c r="C132">
        <v>1089391</v>
      </c>
      <c r="D132" t="s">
        <v>772</v>
      </c>
      <c r="E132" t="s">
        <v>34</v>
      </c>
      <c r="F132" t="s">
        <v>222</v>
      </c>
      <c r="G132" s="31">
        <v>1800</v>
      </c>
    </row>
    <row r="133" spans="1:7" x14ac:dyDescent="0.3">
      <c r="A133" t="s">
        <v>185</v>
      </c>
      <c r="B133" t="s">
        <v>186</v>
      </c>
      <c r="C133">
        <v>1089397</v>
      </c>
      <c r="D133" t="s">
        <v>773</v>
      </c>
      <c r="E133" t="s">
        <v>60</v>
      </c>
      <c r="F133" t="s">
        <v>222</v>
      </c>
      <c r="G133" s="31">
        <v>1800</v>
      </c>
    </row>
    <row r="134" spans="1:7" x14ac:dyDescent="0.3">
      <c r="A134" t="s">
        <v>185</v>
      </c>
      <c r="B134" t="s">
        <v>761</v>
      </c>
      <c r="C134">
        <v>1089405</v>
      </c>
      <c r="D134" t="s">
        <v>774</v>
      </c>
      <c r="E134" t="s">
        <v>482</v>
      </c>
      <c r="F134" t="s">
        <v>150</v>
      </c>
      <c r="G134" s="31">
        <v>2500</v>
      </c>
    </row>
    <row r="135" spans="1:7" x14ac:dyDescent="0.3">
      <c r="A135" t="s">
        <v>185</v>
      </c>
      <c r="B135" t="s">
        <v>186</v>
      </c>
      <c r="C135">
        <v>1089435</v>
      </c>
      <c r="D135" t="s">
        <v>670</v>
      </c>
      <c r="E135" t="s">
        <v>210</v>
      </c>
      <c r="F135" t="s">
        <v>231</v>
      </c>
      <c r="G135" s="31">
        <v>2500</v>
      </c>
    </row>
    <row r="136" spans="1:7" x14ac:dyDescent="0.3">
      <c r="A136" t="s">
        <v>185</v>
      </c>
      <c r="B136" t="s">
        <v>775</v>
      </c>
      <c r="C136">
        <v>1089437</v>
      </c>
      <c r="D136" t="s">
        <v>776</v>
      </c>
      <c r="E136" t="s">
        <v>210</v>
      </c>
      <c r="F136" t="s">
        <v>231</v>
      </c>
      <c r="G136" s="31">
        <v>2500</v>
      </c>
    </row>
    <row r="137" spans="1:7" x14ac:dyDescent="0.3">
      <c r="A137" t="s">
        <v>185</v>
      </c>
      <c r="B137" t="s">
        <v>775</v>
      </c>
      <c r="C137">
        <v>1089438</v>
      </c>
      <c r="D137" t="s">
        <v>776</v>
      </c>
      <c r="E137" t="s">
        <v>210</v>
      </c>
      <c r="F137" t="s">
        <v>231</v>
      </c>
      <c r="G137" s="31">
        <v>2500</v>
      </c>
    </row>
    <row r="138" spans="1:7" x14ac:dyDescent="0.3">
      <c r="A138" t="s">
        <v>185</v>
      </c>
      <c r="B138" t="s">
        <v>186</v>
      </c>
      <c r="C138">
        <v>1089440</v>
      </c>
      <c r="D138" t="s">
        <v>767</v>
      </c>
      <c r="E138" t="s">
        <v>210</v>
      </c>
      <c r="F138" t="s">
        <v>231</v>
      </c>
      <c r="G138" s="31">
        <v>2500</v>
      </c>
    </row>
    <row r="139" spans="1:7" x14ac:dyDescent="0.3">
      <c r="A139" t="s">
        <v>185</v>
      </c>
      <c r="B139" t="s">
        <v>186</v>
      </c>
      <c r="C139">
        <v>1089441</v>
      </c>
      <c r="D139" t="s">
        <v>768</v>
      </c>
      <c r="E139" t="s">
        <v>210</v>
      </c>
      <c r="F139" t="s">
        <v>231</v>
      </c>
      <c r="G139" s="31">
        <v>2500</v>
      </c>
    </row>
    <row r="140" spans="1:7" x14ac:dyDescent="0.3">
      <c r="A140" t="s">
        <v>185</v>
      </c>
      <c r="B140" t="s">
        <v>186</v>
      </c>
      <c r="C140">
        <v>1089443</v>
      </c>
      <c r="D140" t="s">
        <v>769</v>
      </c>
      <c r="E140" t="s">
        <v>210</v>
      </c>
      <c r="F140" t="s">
        <v>231</v>
      </c>
      <c r="G140" s="31">
        <v>2500</v>
      </c>
    </row>
    <row r="141" spans="1:7" x14ac:dyDescent="0.3">
      <c r="A141" t="s">
        <v>185</v>
      </c>
      <c r="B141" t="s">
        <v>186</v>
      </c>
      <c r="C141">
        <v>1089428</v>
      </c>
      <c r="D141" t="s">
        <v>770</v>
      </c>
      <c r="E141" t="s">
        <v>60</v>
      </c>
      <c r="F141" t="s">
        <v>233</v>
      </c>
      <c r="G141" s="31">
        <v>2000</v>
      </c>
    </row>
    <row r="142" spans="1:7" x14ac:dyDescent="0.3">
      <c r="A142" t="s">
        <v>185</v>
      </c>
      <c r="B142" t="s">
        <v>186</v>
      </c>
      <c r="C142">
        <v>1089435</v>
      </c>
      <c r="D142" t="s">
        <v>670</v>
      </c>
      <c r="E142" t="s">
        <v>210</v>
      </c>
      <c r="F142" t="s">
        <v>233</v>
      </c>
      <c r="G142" s="31">
        <v>2500</v>
      </c>
    </row>
    <row r="143" spans="1:7" x14ac:dyDescent="0.3">
      <c r="A143" t="s">
        <v>185</v>
      </c>
      <c r="B143" t="s">
        <v>186</v>
      </c>
      <c r="C143">
        <v>1089439</v>
      </c>
      <c r="D143" t="s">
        <v>777</v>
      </c>
      <c r="E143" t="s">
        <v>210</v>
      </c>
      <c r="F143" t="s">
        <v>233</v>
      </c>
      <c r="G143" s="31">
        <v>2500</v>
      </c>
    </row>
    <row r="144" spans="1:7" x14ac:dyDescent="0.3">
      <c r="A144" t="s">
        <v>185</v>
      </c>
      <c r="B144" t="s">
        <v>186</v>
      </c>
      <c r="C144">
        <v>1089442</v>
      </c>
      <c r="D144" t="s">
        <v>768</v>
      </c>
      <c r="E144" t="s">
        <v>210</v>
      </c>
      <c r="F144" t="s">
        <v>233</v>
      </c>
      <c r="G144" s="31">
        <v>2500</v>
      </c>
    </row>
    <row r="145" spans="1:8" x14ac:dyDescent="0.3">
      <c r="A145" t="s">
        <v>185</v>
      </c>
      <c r="B145" t="s">
        <v>186</v>
      </c>
      <c r="C145">
        <v>1089443</v>
      </c>
      <c r="D145" t="s">
        <v>769</v>
      </c>
      <c r="E145" t="s">
        <v>210</v>
      </c>
      <c r="F145" t="s">
        <v>233</v>
      </c>
      <c r="G145" s="31">
        <v>2500</v>
      </c>
    </row>
    <row r="146" spans="1:8" x14ac:dyDescent="0.3">
      <c r="A146" t="s">
        <v>185</v>
      </c>
      <c r="B146" t="s">
        <v>295</v>
      </c>
      <c r="C146">
        <v>1089432</v>
      </c>
      <c r="D146" t="s">
        <v>778</v>
      </c>
      <c r="E146" t="s">
        <v>210</v>
      </c>
      <c r="F146" t="s">
        <v>237</v>
      </c>
      <c r="G146" s="31">
        <v>2000</v>
      </c>
    </row>
    <row r="147" spans="1:8" x14ac:dyDescent="0.3">
      <c r="A147" t="s">
        <v>185</v>
      </c>
      <c r="B147" t="s">
        <v>196</v>
      </c>
      <c r="C147">
        <v>1089444</v>
      </c>
      <c r="D147" t="s">
        <v>771</v>
      </c>
      <c r="E147" t="s">
        <v>210</v>
      </c>
      <c r="F147" t="s">
        <v>561</v>
      </c>
      <c r="G147" s="31">
        <v>2500</v>
      </c>
    </row>
    <row r="148" spans="1:8" x14ac:dyDescent="0.3">
      <c r="B148" t="s">
        <v>779</v>
      </c>
      <c r="C148">
        <v>1089374</v>
      </c>
      <c r="D148" t="s">
        <v>780</v>
      </c>
      <c r="E148" t="s">
        <v>26</v>
      </c>
      <c r="F148" t="s">
        <v>68</v>
      </c>
      <c r="G148" s="31">
        <v>14000</v>
      </c>
    </row>
    <row r="149" spans="1:8" x14ac:dyDescent="0.3">
      <c r="B149" t="s">
        <v>781</v>
      </c>
      <c r="C149">
        <v>1089362</v>
      </c>
      <c r="D149" t="s">
        <v>782</v>
      </c>
      <c r="E149" t="s">
        <v>26</v>
      </c>
      <c r="F149" t="s">
        <v>84</v>
      </c>
      <c r="G149" s="31">
        <v>20000</v>
      </c>
    </row>
    <row r="150" spans="1:8" x14ac:dyDescent="0.3">
      <c r="G150" s="31">
        <f>SUM(G2:G149)</f>
        <v>1389700</v>
      </c>
    </row>
    <row r="151" spans="1:8" x14ac:dyDescent="0.3">
      <c r="G151" s="31">
        <f>'[2]4TH'!K33+'[2]6TH'!K19+'[2]7TH'!K114+'[2]8TH'!K150</f>
        <v>3039500</v>
      </c>
      <c r="H151" s="2" t="e">
        <f>#REF!/G151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8" sqref="D8"/>
    </sheetView>
  </sheetViews>
  <sheetFormatPr defaultRowHeight="14.4" x14ac:dyDescent="0.3"/>
  <cols>
    <col min="2" max="2" width="31" bestFit="1" customWidth="1"/>
    <col min="3" max="3" width="4.21875" customWidth="1"/>
    <col min="4" max="4" width="10" customWidth="1"/>
    <col min="5" max="5" width="12.5546875" customWidth="1"/>
    <col min="6" max="6" width="8.5546875" customWidth="1"/>
    <col min="7" max="7" width="8.77734375" customWidth="1"/>
    <col min="8" max="8" width="27" customWidth="1"/>
    <col min="9" max="9" width="19.44140625" customWidth="1"/>
    <col min="10" max="10" width="28.21875" customWidth="1"/>
    <col min="11" max="11" width="9.77734375" bestFit="1" customWidth="1"/>
  </cols>
  <sheetData>
    <row r="1" spans="1:11" s="46" customFormat="1" x14ac:dyDescent="0.3">
      <c r="A1" s="1" t="s">
        <v>13</v>
      </c>
      <c r="B1" s="1" t="s">
        <v>14</v>
      </c>
      <c r="C1" s="1" t="s">
        <v>15</v>
      </c>
      <c r="D1" s="3" t="s">
        <v>16</v>
      </c>
      <c r="E1" s="3" t="s">
        <v>17</v>
      </c>
      <c r="F1" s="3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s="18" customFormat="1" x14ac:dyDescent="0.3">
      <c r="A2" s="18" t="s">
        <v>11</v>
      </c>
      <c r="B2" s="18" t="s">
        <v>783</v>
      </c>
      <c r="G2" s="18">
        <v>1089525</v>
      </c>
      <c r="H2" s="18" t="s">
        <v>784</v>
      </c>
      <c r="I2" s="18" t="s">
        <v>26</v>
      </c>
      <c r="J2" s="18" t="s">
        <v>499</v>
      </c>
      <c r="K2" s="27">
        <v>18000</v>
      </c>
    </row>
    <row r="3" spans="1:11" s="18" customFormat="1" x14ac:dyDescent="0.3">
      <c r="A3" s="18" t="s">
        <v>11</v>
      </c>
      <c r="B3" s="18" t="s">
        <v>785</v>
      </c>
      <c r="G3" s="18">
        <v>1089528</v>
      </c>
      <c r="H3" s="18" t="s">
        <v>786</v>
      </c>
      <c r="I3" s="18" t="s">
        <v>160</v>
      </c>
      <c r="J3" s="18" t="s">
        <v>39</v>
      </c>
      <c r="K3" s="27">
        <v>18000</v>
      </c>
    </row>
    <row r="4" spans="1:11" s="18" customFormat="1" x14ac:dyDescent="0.3">
      <c r="A4" s="18" t="s">
        <v>11</v>
      </c>
      <c r="B4" s="18" t="s">
        <v>787</v>
      </c>
      <c r="G4" s="18">
        <v>1089455</v>
      </c>
      <c r="H4" s="18" t="s">
        <v>788</v>
      </c>
      <c r="I4" s="18" t="s">
        <v>160</v>
      </c>
      <c r="J4" s="18" t="s">
        <v>84</v>
      </c>
      <c r="K4" s="27">
        <v>18000</v>
      </c>
    </row>
    <row r="5" spans="1:11" s="18" customFormat="1" x14ac:dyDescent="0.3">
      <c r="A5" s="18" t="s">
        <v>11</v>
      </c>
      <c r="B5" s="18" t="s">
        <v>789</v>
      </c>
      <c r="G5" s="18">
        <v>1089453</v>
      </c>
      <c r="H5" s="18" t="s">
        <v>790</v>
      </c>
      <c r="I5" s="18" t="s">
        <v>38</v>
      </c>
      <c r="J5" s="18" t="s">
        <v>84</v>
      </c>
      <c r="K5" s="27">
        <v>21100</v>
      </c>
    </row>
    <row r="6" spans="1:11" s="18" customFormat="1" x14ac:dyDescent="0.3">
      <c r="A6" s="18" t="s">
        <v>11</v>
      </c>
      <c r="B6" s="18" t="s">
        <v>791</v>
      </c>
      <c r="G6" s="18">
        <v>1089504</v>
      </c>
      <c r="H6" s="18" t="s">
        <v>792</v>
      </c>
      <c r="I6" s="18" t="s">
        <v>160</v>
      </c>
      <c r="J6" s="18" t="s">
        <v>45</v>
      </c>
      <c r="K6" s="27">
        <v>20000</v>
      </c>
    </row>
    <row r="7" spans="1:11" s="18" customFormat="1" x14ac:dyDescent="0.3">
      <c r="A7" s="18" t="s">
        <v>11</v>
      </c>
      <c r="B7" s="18" t="s">
        <v>785</v>
      </c>
      <c r="G7" s="18">
        <v>1089528</v>
      </c>
      <c r="H7" s="18" t="s">
        <v>786</v>
      </c>
      <c r="I7" s="18" t="s">
        <v>160</v>
      </c>
      <c r="J7" s="18" t="s">
        <v>793</v>
      </c>
      <c r="K7" s="27">
        <v>18000</v>
      </c>
    </row>
    <row r="8" spans="1:11" s="18" customFormat="1" x14ac:dyDescent="0.3">
      <c r="A8" s="18" t="s">
        <v>11</v>
      </c>
      <c r="B8" s="18" t="s">
        <v>794</v>
      </c>
      <c r="G8" s="18">
        <v>1089505</v>
      </c>
      <c r="H8" s="18" t="s">
        <v>795</v>
      </c>
      <c r="I8" s="18" t="s">
        <v>64</v>
      </c>
      <c r="J8" s="18" t="s">
        <v>129</v>
      </c>
      <c r="K8" s="27">
        <v>4000</v>
      </c>
    </row>
    <row r="9" spans="1:11" s="18" customFormat="1" x14ac:dyDescent="0.3">
      <c r="A9" s="10" t="s">
        <v>0</v>
      </c>
      <c r="B9" s="10" t="s">
        <v>114</v>
      </c>
      <c r="C9" s="10"/>
      <c r="D9" s="10"/>
      <c r="E9" s="10"/>
      <c r="F9" s="10"/>
      <c r="G9" s="10">
        <v>1089512</v>
      </c>
      <c r="H9" s="10" t="s">
        <v>796</v>
      </c>
      <c r="I9" s="10" t="s">
        <v>160</v>
      </c>
      <c r="J9" s="10" t="s">
        <v>465</v>
      </c>
      <c r="K9" s="29">
        <v>13000</v>
      </c>
    </row>
    <row r="10" spans="1:11" s="18" customFormat="1" x14ac:dyDescent="0.3">
      <c r="A10" s="10" t="s">
        <v>0</v>
      </c>
      <c r="B10" s="10" t="s">
        <v>271</v>
      </c>
      <c r="C10" s="10"/>
      <c r="D10" s="10"/>
      <c r="E10" s="10"/>
      <c r="F10" s="10"/>
      <c r="G10" s="10">
        <v>1089487</v>
      </c>
      <c r="H10" s="10" t="s">
        <v>797</v>
      </c>
      <c r="I10" s="10" t="s">
        <v>26</v>
      </c>
      <c r="J10" s="10" t="s">
        <v>360</v>
      </c>
      <c r="K10" s="29">
        <v>29000</v>
      </c>
    </row>
    <row r="11" spans="1:11" s="10" customFormat="1" x14ac:dyDescent="0.3">
      <c r="A11" s="10" t="s">
        <v>0</v>
      </c>
      <c r="B11" s="10" t="s">
        <v>798</v>
      </c>
      <c r="G11" s="10">
        <v>1089486</v>
      </c>
      <c r="H11" s="10" t="s">
        <v>799</v>
      </c>
      <c r="I11" s="10" t="s">
        <v>26</v>
      </c>
      <c r="J11" s="10" t="s">
        <v>51</v>
      </c>
      <c r="K11" s="29">
        <v>15000</v>
      </c>
    </row>
    <row r="12" spans="1:11" s="10" customFormat="1" x14ac:dyDescent="0.3">
      <c r="A12" s="10" t="s">
        <v>0</v>
      </c>
      <c r="B12" s="10" t="s">
        <v>800</v>
      </c>
      <c r="G12" s="10">
        <v>1089509</v>
      </c>
      <c r="H12" s="10" t="s">
        <v>801</v>
      </c>
      <c r="I12" s="10" t="s">
        <v>26</v>
      </c>
      <c r="J12" s="10" t="s">
        <v>27</v>
      </c>
      <c r="K12" s="29">
        <v>12000</v>
      </c>
    </row>
    <row r="13" spans="1:11" s="10" customFormat="1" x14ac:dyDescent="0.3">
      <c r="A13" s="10" t="s">
        <v>0</v>
      </c>
      <c r="B13" s="10" t="s">
        <v>802</v>
      </c>
      <c r="G13" s="10">
        <v>1089476</v>
      </c>
      <c r="H13" s="10" t="s">
        <v>803</v>
      </c>
      <c r="I13" s="10" t="s">
        <v>26</v>
      </c>
      <c r="J13" s="10" t="s">
        <v>27</v>
      </c>
      <c r="K13" s="29">
        <v>12000</v>
      </c>
    </row>
    <row r="14" spans="1:11" s="10" customFormat="1" x14ac:dyDescent="0.3">
      <c r="A14" s="10" t="s">
        <v>0</v>
      </c>
      <c r="B14" s="10" t="s">
        <v>72</v>
      </c>
      <c r="G14" s="10">
        <v>1089489</v>
      </c>
      <c r="H14" s="10" t="s">
        <v>804</v>
      </c>
      <c r="I14" s="10" t="s">
        <v>26</v>
      </c>
      <c r="J14" s="10" t="s">
        <v>27</v>
      </c>
      <c r="K14" s="29">
        <v>12000</v>
      </c>
    </row>
    <row r="15" spans="1:11" s="10" customFormat="1" x14ac:dyDescent="0.3">
      <c r="A15" s="10" t="s">
        <v>0</v>
      </c>
      <c r="B15" s="10" t="s">
        <v>805</v>
      </c>
      <c r="G15" s="10">
        <v>1089456</v>
      </c>
      <c r="H15" s="10" t="s">
        <v>806</v>
      </c>
      <c r="I15" s="10" t="s">
        <v>26</v>
      </c>
      <c r="J15" s="10" t="s">
        <v>27</v>
      </c>
      <c r="K15" s="29">
        <v>12000</v>
      </c>
    </row>
    <row r="16" spans="1:11" s="10" customFormat="1" x14ac:dyDescent="0.3">
      <c r="A16" s="10" t="s">
        <v>0</v>
      </c>
      <c r="B16" s="10" t="s">
        <v>805</v>
      </c>
      <c r="G16" s="10">
        <v>1089456</v>
      </c>
      <c r="H16" s="10" t="s">
        <v>806</v>
      </c>
      <c r="I16" s="10" t="s">
        <v>26</v>
      </c>
      <c r="J16" s="10" t="s">
        <v>749</v>
      </c>
      <c r="K16" s="29">
        <v>12000</v>
      </c>
    </row>
    <row r="17" spans="1:11" s="10" customFormat="1" x14ac:dyDescent="0.3">
      <c r="A17" s="10" t="s">
        <v>0</v>
      </c>
      <c r="B17" s="10" t="s">
        <v>807</v>
      </c>
      <c r="G17" s="10">
        <v>1089519</v>
      </c>
      <c r="H17" s="10" t="s">
        <v>808</v>
      </c>
      <c r="I17" s="10" t="s">
        <v>26</v>
      </c>
      <c r="J17" s="10" t="s">
        <v>65</v>
      </c>
      <c r="K17" s="29">
        <v>12000</v>
      </c>
    </row>
    <row r="18" spans="1:11" s="10" customFormat="1" x14ac:dyDescent="0.3">
      <c r="A18" s="10" t="s">
        <v>0</v>
      </c>
      <c r="B18" s="10" t="s">
        <v>809</v>
      </c>
      <c r="G18" s="10">
        <v>1089464</v>
      </c>
      <c r="H18" s="10" t="s">
        <v>810</v>
      </c>
      <c r="I18" s="10" t="s">
        <v>26</v>
      </c>
      <c r="J18" s="10" t="s">
        <v>68</v>
      </c>
      <c r="K18" s="29">
        <v>14000</v>
      </c>
    </row>
    <row r="19" spans="1:11" s="10" customFormat="1" x14ac:dyDescent="0.3">
      <c r="A19" s="10" t="s">
        <v>0</v>
      </c>
      <c r="B19" s="10" t="s">
        <v>811</v>
      </c>
      <c r="G19" s="10">
        <v>1089474</v>
      </c>
      <c r="H19" s="10" t="s">
        <v>812</v>
      </c>
      <c r="I19" s="10" t="s">
        <v>26</v>
      </c>
      <c r="J19" s="10" t="s">
        <v>31</v>
      </c>
      <c r="K19" s="29">
        <v>7500</v>
      </c>
    </row>
    <row r="20" spans="1:11" s="10" customFormat="1" x14ac:dyDescent="0.3">
      <c r="A20" s="10" t="s">
        <v>0</v>
      </c>
      <c r="B20" s="10" t="s">
        <v>813</v>
      </c>
      <c r="G20" s="10">
        <v>1089522</v>
      </c>
      <c r="H20" s="10" t="s">
        <v>814</v>
      </c>
      <c r="I20" s="10" t="s">
        <v>26</v>
      </c>
      <c r="J20" s="10" t="s">
        <v>74</v>
      </c>
      <c r="K20" s="29">
        <v>20000</v>
      </c>
    </row>
    <row r="21" spans="1:11" s="10" customFormat="1" x14ac:dyDescent="0.3">
      <c r="A21" s="10" t="s">
        <v>0</v>
      </c>
      <c r="B21" s="10" t="s">
        <v>669</v>
      </c>
      <c r="G21" s="10">
        <v>1089471</v>
      </c>
      <c r="H21" s="10" t="s">
        <v>815</v>
      </c>
      <c r="I21" s="10" t="s">
        <v>26</v>
      </c>
      <c r="J21" s="10" t="s">
        <v>316</v>
      </c>
      <c r="K21" s="29">
        <v>20000</v>
      </c>
    </row>
    <row r="22" spans="1:11" s="10" customFormat="1" x14ac:dyDescent="0.3">
      <c r="A22" s="10" t="s">
        <v>0</v>
      </c>
      <c r="B22" s="10" t="s">
        <v>414</v>
      </c>
      <c r="G22" s="10">
        <v>1089480</v>
      </c>
      <c r="H22" s="10" t="s">
        <v>816</v>
      </c>
      <c r="I22" s="10" t="s">
        <v>817</v>
      </c>
      <c r="J22" s="10" t="s">
        <v>39</v>
      </c>
      <c r="K22" s="29">
        <v>22000</v>
      </c>
    </row>
    <row r="23" spans="1:11" s="10" customFormat="1" x14ac:dyDescent="0.3">
      <c r="A23" s="10" t="s">
        <v>0</v>
      </c>
      <c r="B23" s="10" t="s">
        <v>818</v>
      </c>
      <c r="G23" s="10">
        <v>1089480</v>
      </c>
      <c r="H23" s="10" t="s">
        <v>816</v>
      </c>
      <c r="I23" s="10" t="s">
        <v>817</v>
      </c>
      <c r="J23" s="10" t="s">
        <v>84</v>
      </c>
      <c r="K23" s="29">
        <v>22000</v>
      </c>
    </row>
    <row r="24" spans="1:11" s="10" customFormat="1" x14ac:dyDescent="0.3">
      <c r="A24" s="10" t="s">
        <v>0</v>
      </c>
      <c r="B24" s="10" t="s">
        <v>135</v>
      </c>
      <c r="G24" s="10">
        <v>1089529</v>
      </c>
      <c r="H24" s="10" t="s">
        <v>819</v>
      </c>
      <c r="I24" s="10" t="s">
        <v>64</v>
      </c>
      <c r="J24" s="10" t="s">
        <v>84</v>
      </c>
      <c r="K24" s="29">
        <v>18000</v>
      </c>
    </row>
    <row r="25" spans="1:11" s="10" customFormat="1" x14ac:dyDescent="0.3">
      <c r="A25" s="10" t="s">
        <v>0</v>
      </c>
      <c r="B25" s="10" t="s">
        <v>820</v>
      </c>
      <c r="G25" s="10">
        <v>1089462</v>
      </c>
      <c r="H25" s="10" t="s">
        <v>821</v>
      </c>
      <c r="I25" s="10" t="s">
        <v>160</v>
      </c>
      <c r="J25" s="10" t="s">
        <v>45</v>
      </c>
      <c r="K25" s="29">
        <v>20000</v>
      </c>
    </row>
    <row r="26" spans="1:11" s="10" customFormat="1" x14ac:dyDescent="0.3">
      <c r="A26" s="10" t="s">
        <v>0</v>
      </c>
      <c r="B26" s="10" t="s">
        <v>132</v>
      </c>
      <c r="G26" s="10">
        <v>1089475</v>
      </c>
      <c r="H26" s="10" t="s">
        <v>822</v>
      </c>
      <c r="I26" s="10" t="s">
        <v>26</v>
      </c>
      <c r="J26" s="10" t="s">
        <v>45</v>
      </c>
      <c r="K26" s="29">
        <v>25000</v>
      </c>
    </row>
    <row r="27" spans="1:11" s="10" customFormat="1" x14ac:dyDescent="0.3">
      <c r="A27" s="10" t="s">
        <v>0</v>
      </c>
      <c r="B27" s="10" t="s">
        <v>823</v>
      </c>
      <c r="G27" s="10">
        <v>1089457</v>
      </c>
      <c r="H27" s="10" t="s">
        <v>824</v>
      </c>
      <c r="I27" s="10" t="s">
        <v>44</v>
      </c>
      <c r="J27" s="10" t="s">
        <v>98</v>
      </c>
      <c r="K27" s="29">
        <v>30000</v>
      </c>
    </row>
    <row r="28" spans="1:11" s="10" customFormat="1" x14ac:dyDescent="0.3">
      <c r="A28" s="10" t="s">
        <v>0</v>
      </c>
      <c r="B28" s="10" t="s">
        <v>80</v>
      </c>
      <c r="G28" s="10">
        <v>1089463</v>
      </c>
      <c r="H28" s="10" t="s">
        <v>825</v>
      </c>
      <c r="I28" s="10" t="s">
        <v>26</v>
      </c>
      <c r="J28" s="10" t="s">
        <v>195</v>
      </c>
      <c r="K28" s="29">
        <v>20000</v>
      </c>
    </row>
    <row r="29" spans="1:11" s="10" customFormat="1" x14ac:dyDescent="0.3">
      <c r="A29" s="10" t="s">
        <v>0</v>
      </c>
      <c r="B29" s="10" t="s">
        <v>80</v>
      </c>
      <c r="G29" s="10">
        <v>1089498</v>
      </c>
      <c r="H29" s="10" t="s">
        <v>826</v>
      </c>
      <c r="I29" s="10" t="s">
        <v>60</v>
      </c>
      <c r="J29" s="10" t="s">
        <v>195</v>
      </c>
      <c r="K29" s="29">
        <v>18000</v>
      </c>
    </row>
    <row r="30" spans="1:11" s="10" customFormat="1" x14ac:dyDescent="0.3">
      <c r="A30" s="10" t="s">
        <v>0</v>
      </c>
      <c r="B30" s="10" t="s">
        <v>271</v>
      </c>
      <c r="G30" s="10">
        <v>1089461</v>
      </c>
      <c r="H30" s="10" t="s">
        <v>827</v>
      </c>
      <c r="I30" s="10" t="s">
        <v>160</v>
      </c>
      <c r="J30" s="10" t="s">
        <v>104</v>
      </c>
      <c r="K30" s="29">
        <v>4000</v>
      </c>
    </row>
    <row r="31" spans="1:11" s="10" customFormat="1" x14ac:dyDescent="0.3">
      <c r="A31" s="10" t="s">
        <v>0</v>
      </c>
      <c r="B31" s="10" t="s">
        <v>271</v>
      </c>
      <c r="G31" s="10">
        <v>1089466</v>
      </c>
      <c r="H31" s="10" t="s">
        <v>828</v>
      </c>
      <c r="I31" s="10" t="s">
        <v>26</v>
      </c>
      <c r="J31" s="10" t="s">
        <v>104</v>
      </c>
      <c r="K31" s="29">
        <v>3000</v>
      </c>
    </row>
    <row r="32" spans="1:11" s="10" customFormat="1" x14ac:dyDescent="0.3">
      <c r="A32" s="10" t="s">
        <v>0</v>
      </c>
      <c r="B32" s="10" t="s">
        <v>829</v>
      </c>
      <c r="G32" s="10">
        <v>1089492</v>
      </c>
      <c r="H32" s="10" t="s">
        <v>830</v>
      </c>
      <c r="I32" s="10" t="s">
        <v>26</v>
      </c>
      <c r="J32" s="10" t="s">
        <v>104</v>
      </c>
      <c r="K32" s="29">
        <v>3000</v>
      </c>
    </row>
    <row r="33" spans="1:11" s="10" customFormat="1" x14ac:dyDescent="0.3">
      <c r="A33" s="10" t="s">
        <v>0</v>
      </c>
      <c r="B33" s="10" t="s">
        <v>271</v>
      </c>
      <c r="G33" s="10">
        <v>1089458</v>
      </c>
      <c r="H33" s="10" t="s">
        <v>831</v>
      </c>
      <c r="I33" s="10" t="s">
        <v>26</v>
      </c>
      <c r="J33" s="10" t="s">
        <v>104</v>
      </c>
      <c r="K33" s="29">
        <v>3000</v>
      </c>
    </row>
    <row r="34" spans="1:11" s="10" customFormat="1" x14ac:dyDescent="0.3">
      <c r="A34" s="10" t="s">
        <v>0</v>
      </c>
      <c r="B34" s="10" t="s">
        <v>832</v>
      </c>
      <c r="G34" s="10">
        <v>1089499</v>
      </c>
      <c r="H34" s="10" t="s">
        <v>833</v>
      </c>
      <c r="I34" s="10" t="s">
        <v>26</v>
      </c>
      <c r="J34" s="10" t="s">
        <v>110</v>
      </c>
      <c r="K34" s="29">
        <v>6000</v>
      </c>
    </row>
    <row r="35" spans="1:11" s="10" customFormat="1" x14ac:dyDescent="0.3">
      <c r="A35" s="10" t="s">
        <v>0</v>
      </c>
      <c r="B35" s="10" t="s">
        <v>811</v>
      </c>
      <c r="G35" s="10">
        <v>1089474</v>
      </c>
      <c r="H35" s="10" t="s">
        <v>812</v>
      </c>
      <c r="I35" s="10" t="s">
        <v>26</v>
      </c>
      <c r="J35" s="10" t="s">
        <v>834</v>
      </c>
      <c r="K35" s="29">
        <v>6000</v>
      </c>
    </row>
    <row r="36" spans="1:11" s="10" customFormat="1" x14ac:dyDescent="0.3">
      <c r="A36" s="10" t="s">
        <v>0</v>
      </c>
      <c r="B36" s="10" t="s">
        <v>117</v>
      </c>
      <c r="G36" s="10">
        <v>1089483</v>
      </c>
      <c r="H36" s="10" t="s">
        <v>835</v>
      </c>
      <c r="I36" s="10" t="s">
        <v>26</v>
      </c>
      <c r="J36" s="10" t="s">
        <v>337</v>
      </c>
      <c r="K36" s="29">
        <v>4000</v>
      </c>
    </row>
    <row r="37" spans="1:11" s="10" customFormat="1" x14ac:dyDescent="0.3">
      <c r="A37" s="10" t="s">
        <v>0</v>
      </c>
      <c r="B37" s="10" t="s">
        <v>694</v>
      </c>
      <c r="G37" s="10">
        <v>1089502</v>
      </c>
      <c r="H37" s="10" t="s">
        <v>836</v>
      </c>
      <c r="I37" s="10" t="s">
        <v>26</v>
      </c>
      <c r="J37" s="10" t="s">
        <v>837</v>
      </c>
      <c r="K37" s="29">
        <v>8000</v>
      </c>
    </row>
    <row r="38" spans="1:11" s="10" customFormat="1" x14ac:dyDescent="0.3">
      <c r="A38" s="10" t="s">
        <v>0</v>
      </c>
      <c r="B38" s="10" t="s">
        <v>125</v>
      </c>
      <c r="G38" s="10">
        <v>1089488</v>
      </c>
      <c r="H38" s="10" t="s">
        <v>838</v>
      </c>
      <c r="I38" s="10" t="s">
        <v>198</v>
      </c>
      <c r="J38" s="10" t="s">
        <v>124</v>
      </c>
      <c r="K38" s="29">
        <v>4000</v>
      </c>
    </row>
    <row r="39" spans="1:11" s="10" customFormat="1" x14ac:dyDescent="0.3">
      <c r="A39" s="10" t="s">
        <v>0</v>
      </c>
      <c r="B39" s="10" t="s">
        <v>289</v>
      </c>
      <c r="G39" s="10">
        <v>1089491</v>
      </c>
      <c r="H39" s="10" t="s">
        <v>839</v>
      </c>
      <c r="I39" s="10" t="s">
        <v>198</v>
      </c>
      <c r="J39" s="10" t="s">
        <v>124</v>
      </c>
      <c r="K39" s="29">
        <v>4000</v>
      </c>
    </row>
    <row r="40" spans="1:11" s="10" customFormat="1" x14ac:dyDescent="0.3">
      <c r="A40" s="10" t="s">
        <v>0</v>
      </c>
      <c r="B40" s="10" t="s">
        <v>125</v>
      </c>
      <c r="G40" s="10">
        <v>1089496</v>
      </c>
      <c r="H40" s="10" t="s">
        <v>840</v>
      </c>
      <c r="I40" s="10" t="s">
        <v>160</v>
      </c>
      <c r="J40" s="10" t="s">
        <v>124</v>
      </c>
      <c r="K40" s="29">
        <v>4000</v>
      </c>
    </row>
    <row r="41" spans="1:11" s="10" customFormat="1" x14ac:dyDescent="0.3">
      <c r="A41" s="10" t="s">
        <v>0</v>
      </c>
      <c r="B41" s="10" t="s">
        <v>122</v>
      </c>
      <c r="G41" s="10">
        <v>1089526</v>
      </c>
      <c r="H41" s="10" t="s">
        <v>841</v>
      </c>
      <c r="I41" s="10" t="s">
        <v>26</v>
      </c>
      <c r="J41" s="10" t="s">
        <v>124</v>
      </c>
      <c r="K41" s="29">
        <v>3000</v>
      </c>
    </row>
    <row r="42" spans="1:11" s="10" customFormat="1" x14ac:dyDescent="0.3">
      <c r="A42" s="10" t="s">
        <v>0</v>
      </c>
      <c r="B42" s="10" t="s">
        <v>130</v>
      </c>
      <c r="G42" s="10">
        <v>1089454</v>
      </c>
      <c r="H42" s="10" t="s">
        <v>842</v>
      </c>
      <c r="I42" s="10" t="s">
        <v>26</v>
      </c>
      <c r="J42" s="10" t="s">
        <v>124</v>
      </c>
      <c r="K42" s="29">
        <v>3000</v>
      </c>
    </row>
    <row r="43" spans="1:11" s="10" customFormat="1" x14ac:dyDescent="0.3">
      <c r="A43" s="10" t="s">
        <v>0</v>
      </c>
      <c r="B43" s="10" t="s">
        <v>125</v>
      </c>
      <c r="G43" s="10">
        <v>1089481</v>
      </c>
      <c r="H43" s="10" t="s">
        <v>843</v>
      </c>
      <c r="I43" s="10" t="s">
        <v>34</v>
      </c>
      <c r="J43" s="10" t="s">
        <v>844</v>
      </c>
      <c r="K43" s="29">
        <v>4000</v>
      </c>
    </row>
    <row r="44" spans="1:11" s="10" customFormat="1" x14ac:dyDescent="0.3">
      <c r="A44" s="10" t="s">
        <v>0</v>
      </c>
      <c r="B44" s="10" t="s">
        <v>69</v>
      </c>
      <c r="G44" s="10">
        <v>1089518</v>
      </c>
      <c r="H44" s="10" t="s">
        <v>845</v>
      </c>
      <c r="I44" s="10" t="s">
        <v>60</v>
      </c>
      <c r="J44" s="10" t="s">
        <v>129</v>
      </c>
      <c r="K44" s="29">
        <v>4000</v>
      </c>
    </row>
    <row r="45" spans="1:11" s="10" customFormat="1" x14ac:dyDescent="0.3">
      <c r="A45" s="10" t="s">
        <v>0</v>
      </c>
      <c r="B45" s="10" t="s">
        <v>127</v>
      </c>
      <c r="G45" s="10">
        <v>1089523</v>
      </c>
      <c r="H45" s="10" t="s">
        <v>846</v>
      </c>
      <c r="I45" s="10" t="s">
        <v>79</v>
      </c>
      <c r="J45" s="10" t="s">
        <v>129</v>
      </c>
      <c r="K45" s="29">
        <v>4000</v>
      </c>
    </row>
    <row r="46" spans="1:11" s="10" customFormat="1" x14ac:dyDescent="0.3">
      <c r="A46" s="10" t="s">
        <v>0</v>
      </c>
      <c r="B46" s="10" t="s">
        <v>847</v>
      </c>
      <c r="G46" s="10">
        <v>1089494</v>
      </c>
      <c r="H46" s="10" t="s">
        <v>848</v>
      </c>
      <c r="I46" s="10" t="s">
        <v>26</v>
      </c>
      <c r="J46" s="10" t="s">
        <v>129</v>
      </c>
      <c r="K46" s="10">
        <v>800</v>
      </c>
    </row>
    <row r="47" spans="1:11" s="10" customFormat="1" x14ac:dyDescent="0.3">
      <c r="A47" s="10" t="s">
        <v>0</v>
      </c>
      <c r="B47" s="10" t="s">
        <v>849</v>
      </c>
      <c r="G47" s="10">
        <v>1089514</v>
      </c>
      <c r="H47" s="10" t="s">
        <v>850</v>
      </c>
      <c r="I47" s="10" t="s">
        <v>26</v>
      </c>
      <c r="J47" s="10" t="s">
        <v>129</v>
      </c>
      <c r="K47" s="29">
        <v>3000</v>
      </c>
    </row>
    <row r="48" spans="1:11" s="10" customFormat="1" x14ac:dyDescent="0.3">
      <c r="A48" s="10" t="s">
        <v>0</v>
      </c>
      <c r="B48" s="10" t="s">
        <v>289</v>
      </c>
      <c r="G48" s="10">
        <v>1089524</v>
      </c>
      <c r="H48" s="10" t="s">
        <v>851</v>
      </c>
      <c r="I48" s="10" t="s">
        <v>411</v>
      </c>
      <c r="J48" s="10" t="s">
        <v>129</v>
      </c>
      <c r="K48" s="29">
        <v>4000</v>
      </c>
    </row>
    <row r="49" spans="1:11" s="10" customFormat="1" x14ac:dyDescent="0.3">
      <c r="A49" s="10" t="s">
        <v>0</v>
      </c>
      <c r="B49" s="10" t="s">
        <v>847</v>
      </c>
      <c r="G49" s="10">
        <v>1089493</v>
      </c>
      <c r="H49" s="10" t="s">
        <v>848</v>
      </c>
      <c r="I49" s="10" t="s">
        <v>852</v>
      </c>
      <c r="J49" s="10" t="s">
        <v>129</v>
      </c>
      <c r="K49" s="29">
        <v>3200</v>
      </c>
    </row>
    <row r="50" spans="1:11" s="10" customFormat="1" x14ac:dyDescent="0.3">
      <c r="A50" s="10" t="s">
        <v>0</v>
      </c>
      <c r="B50" s="10" t="s">
        <v>69</v>
      </c>
      <c r="G50" s="10">
        <v>1089517</v>
      </c>
      <c r="H50" s="10" t="s">
        <v>853</v>
      </c>
      <c r="I50" s="10" t="s">
        <v>201</v>
      </c>
      <c r="J50" s="10" t="s">
        <v>134</v>
      </c>
      <c r="K50" s="29">
        <v>4000</v>
      </c>
    </row>
    <row r="51" spans="1:11" s="10" customFormat="1" x14ac:dyDescent="0.3">
      <c r="A51" s="10" t="s">
        <v>0</v>
      </c>
      <c r="B51" s="10" t="s">
        <v>77</v>
      </c>
      <c r="G51" s="10">
        <v>1089482</v>
      </c>
      <c r="H51" s="10" t="s">
        <v>854</v>
      </c>
      <c r="I51" s="10" t="s">
        <v>26</v>
      </c>
      <c r="J51" s="10" t="s">
        <v>207</v>
      </c>
      <c r="K51" s="29">
        <v>3000</v>
      </c>
    </row>
    <row r="52" spans="1:11" s="10" customFormat="1" x14ac:dyDescent="0.3">
      <c r="A52" s="10" t="s">
        <v>0</v>
      </c>
      <c r="B52" s="10" t="s">
        <v>694</v>
      </c>
      <c r="G52" s="10">
        <v>1089511</v>
      </c>
      <c r="H52" s="10" t="s">
        <v>855</v>
      </c>
      <c r="I52" s="10" t="s">
        <v>26</v>
      </c>
      <c r="J52" s="10" t="s">
        <v>141</v>
      </c>
      <c r="K52" s="29">
        <v>5000</v>
      </c>
    </row>
    <row r="53" spans="1:11" s="10" customFormat="1" x14ac:dyDescent="0.3">
      <c r="A53" s="10" t="s">
        <v>0</v>
      </c>
      <c r="B53" s="10" t="s">
        <v>135</v>
      </c>
      <c r="G53" s="10">
        <v>1089484</v>
      </c>
      <c r="H53" s="10" t="s">
        <v>856</v>
      </c>
      <c r="I53" s="10" t="s">
        <v>44</v>
      </c>
      <c r="J53" s="10" t="s">
        <v>299</v>
      </c>
      <c r="K53" s="29">
        <v>2200</v>
      </c>
    </row>
    <row r="54" spans="1:11" s="10" customFormat="1" x14ac:dyDescent="0.3">
      <c r="A54" s="10" t="s">
        <v>0</v>
      </c>
      <c r="B54" s="10" t="s">
        <v>114</v>
      </c>
      <c r="G54" s="10">
        <v>1089520</v>
      </c>
      <c r="H54" s="10" t="s">
        <v>857</v>
      </c>
      <c r="I54" s="10" t="s">
        <v>26</v>
      </c>
      <c r="J54" s="10" t="s">
        <v>555</v>
      </c>
      <c r="K54" s="29">
        <v>2500</v>
      </c>
    </row>
    <row r="55" spans="1:11" s="10" customFormat="1" x14ac:dyDescent="0.3">
      <c r="A55" s="10" t="s">
        <v>0</v>
      </c>
      <c r="B55" s="10" t="s">
        <v>300</v>
      </c>
      <c r="G55" s="10">
        <v>1089485</v>
      </c>
      <c r="H55" s="10" t="s">
        <v>858</v>
      </c>
      <c r="I55" s="10" t="s">
        <v>26</v>
      </c>
      <c r="J55" s="10" t="s">
        <v>142</v>
      </c>
      <c r="K55" s="29">
        <v>2000</v>
      </c>
    </row>
    <row r="56" spans="1:11" s="10" customFormat="1" x14ac:dyDescent="0.3">
      <c r="A56" s="10" t="s">
        <v>0</v>
      </c>
      <c r="B56" s="10" t="s">
        <v>302</v>
      </c>
      <c r="G56" s="10">
        <v>1089501</v>
      </c>
      <c r="H56" s="10" t="s">
        <v>859</v>
      </c>
      <c r="I56" s="10" t="s">
        <v>26</v>
      </c>
      <c r="J56" s="10" t="s">
        <v>142</v>
      </c>
      <c r="K56" s="29">
        <v>2000</v>
      </c>
    </row>
    <row r="57" spans="1:11" s="10" customFormat="1" x14ac:dyDescent="0.3">
      <c r="A57" s="10" t="s">
        <v>0</v>
      </c>
      <c r="B57" s="10" t="s">
        <v>829</v>
      </c>
      <c r="G57" s="10">
        <v>1089492</v>
      </c>
      <c r="H57" s="10" t="s">
        <v>830</v>
      </c>
      <c r="I57" s="10" t="s">
        <v>26</v>
      </c>
      <c r="J57" s="10" t="s">
        <v>142</v>
      </c>
      <c r="K57" s="29">
        <v>2000</v>
      </c>
    </row>
    <row r="58" spans="1:11" s="10" customFormat="1" x14ac:dyDescent="0.3">
      <c r="A58" s="10" t="s">
        <v>0</v>
      </c>
      <c r="B58" s="10" t="s">
        <v>143</v>
      </c>
      <c r="G58" s="10">
        <v>1089500</v>
      </c>
      <c r="H58" s="10" t="s">
        <v>860</v>
      </c>
      <c r="I58" s="10" t="s">
        <v>26</v>
      </c>
      <c r="J58" s="10" t="s">
        <v>142</v>
      </c>
      <c r="K58" s="29">
        <v>2000</v>
      </c>
    </row>
    <row r="59" spans="1:11" s="10" customFormat="1" x14ac:dyDescent="0.3">
      <c r="A59" s="10" t="s">
        <v>0</v>
      </c>
      <c r="B59" s="10" t="s">
        <v>414</v>
      </c>
      <c r="G59" s="10">
        <v>1089472</v>
      </c>
      <c r="H59" s="10" t="s">
        <v>816</v>
      </c>
      <c r="I59" s="10" t="s">
        <v>817</v>
      </c>
      <c r="J59" s="10" t="s">
        <v>226</v>
      </c>
      <c r="K59" s="29">
        <v>1800</v>
      </c>
    </row>
    <row r="60" spans="1:11" s="10" customFormat="1" x14ac:dyDescent="0.3">
      <c r="A60" s="10" t="s">
        <v>0</v>
      </c>
      <c r="B60" s="10" t="s">
        <v>62</v>
      </c>
      <c r="G60" s="10">
        <v>1089495</v>
      </c>
      <c r="H60" s="10" t="s">
        <v>861</v>
      </c>
      <c r="I60" s="10" t="s">
        <v>64</v>
      </c>
      <c r="J60" s="10" t="s">
        <v>184</v>
      </c>
      <c r="K60" s="29">
        <v>1800</v>
      </c>
    </row>
    <row r="61" spans="1:11" s="10" customFormat="1" x14ac:dyDescent="0.3">
      <c r="A61" s="10" t="s">
        <v>0</v>
      </c>
      <c r="B61" s="10" t="s">
        <v>414</v>
      </c>
      <c r="G61" s="10">
        <v>1089472</v>
      </c>
      <c r="H61" s="10" t="s">
        <v>816</v>
      </c>
      <c r="I61" s="10" t="s">
        <v>817</v>
      </c>
      <c r="J61" s="10" t="s">
        <v>231</v>
      </c>
      <c r="K61" s="29">
        <v>2500</v>
      </c>
    </row>
    <row r="62" spans="1:11" s="10" customFormat="1" x14ac:dyDescent="0.3">
      <c r="A62" s="10" t="s">
        <v>0</v>
      </c>
      <c r="B62" s="10" t="s">
        <v>862</v>
      </c>
      <c r="G62" s="10">
        <v>1089479</v>
      </c>
      <c r="H62" s="10" t="s">
        <v>863</v>
      </c>
      <c r="I62" s="10" t="s">
        <v>26</v>
      </c>
      <c r="J62" s="10" t="s">
        <v>231</v>
      </c>
      <c r="K62" s="29">
        <v>2500</v>
      </c>
    </row>
    <row r="63" spans="1:11" s="10" customFormat="1" x14ac:dyDescent="0.3">
      <c r="A63" s="10" t="s">
        <v>0</v>
      </c>
      <c r="B63" s="10" t="s">
        <v>862</v>
      </c>
      <c r="G63" s="10">
        <v>1089470</v>
      </c>
      <c r="H63" s="10" t="s">
        <v>864</v>
      </c>
      <c r="I63" s="10" t="s">
        <v>26</v>
      </c>
      <c r="J63" s="10" t="s">
        <v>865</v>
      </c>
      <c r="K63" s="29">
        <v>2500</v>
      </c>
    </row>
    <row r="64" spans="1:11" s="23" customFormat="1" x14ac:dyDescent="0.3">
      <c r="A64" s="23" t="s">
        <v>9</v>
      </c>
      <c r="B64" s="23" t="s">
        <v>866</v>
      </c>
      <c r="C64" s="23" t="s">
        <v>15</v>
      </c>
      <c r="D64" s="23" t="s">
        <v>867</v>
      </c>
      <c r="E64" s="43" t="s">
        <v>868</v>
      </c>
      <c r="F64" s="23">
        <v>1500</v>
      </c>
      <c r="G64" s="23">
        <v>1089513</v>
      </c>
      <c r="H64" s="23" t="s">
        <v>869</v>
      </c>
      <c r="I64" s="23" t="s">
        <v>26</v>
      </c>
      <c r="J64" s="23" t="s">
        <v>51</v>
      </c>
      <c r="K64" s="30">
        <v>15000</v>
      </c>
    </row>
    <row r="65" spans="1:11" s="23" customFormat="1" x14ac:dyDescent="0.3">
      <c r="A65" s="23" t="s">
        <v>9</v>
      </c>
      <c r="B65" s="23" t="s">
        <v>174</v>
      </c>
      <c r="C65" s="23" t="s">
        <v>15</v>
      </c>
      <c r="D65" s="23" t="s">
        <v>175</v>
      </c>
      <c r="E65" s="43" t="s">
        <v>176</v>
      </c>
      <c r="F65" s="23">
        <v>1500</v>
      </c>
      <c r="G65" s="23">
        <v>1089490</v>
      </c>
      <c r="H65" s="23" t="s">
        <v>870</v>
      </c>
      <c r="I65" s="23" t="s">
        <v>26</v>
      </c>
      <c r="J65" s="23" t="s">
        <v>61</v>
      </c>
      <c r="K65" s="30">
        <v>14000</v>
      </c>
    </row>
    <row r="66" spans="1:11" s="23" customFormat="1" x14ac:dyDescent="0.3">
      <c r="A66" s="23" t="s">
        <v>9</v>
      </c>
      <c r="B66" s="23" t="s">
        <v>871</v>
      </c>
      <c r="C66" s="23" t="s">
        <v>15</v>
      </c>
      <c r="D66" s="23" t="s">
        <v>427</v>
      </c>
      <c r="E66" s="43" t="s">
        <v>428</v>
      </c>
      <c r="F66" s="23">
        <v>1500</v>
      </c>
      <c r="G66" s="23">
        <v>1089477</v>
      </c>
      <c r="H66" s="23" t="s">
        <v>872</v>
      </c>
      <c r="I66" s="23" t="s">
        <v>26</v>
      </c>
      <c r="J66" s="23" t="s">
        <v>65</v>
      </c>
      <c r="K66" s="30">
        <v>12000</v>
      </c>
    </row>
    <row r="67" spans="1:11" s="23" customFormat="1" x14ac:dyDescent="0.3">
      <c r="A67" s="23" t="s">
        <v>9</v>
      </c>
      <c r="B67" s="23" t="s">
        <v>722</v>
      </c>
      <c r="C67" s="23" t="s">
        <v>15</v>
      </c>
      <c r="D67" s="23" t="s">
        <v>106</v>
      </c>
      <c r="E67" s="43" t="s">
        <v>723</v>
      </c>
      <c r="F67" s="23">
        <v>1500</v>
      </c>
      <c r="G67" s="23">
        <v>1089508</v>
      </c>
      <c r="H67" s="23" t="s">
        <v>873</v>
      </c>
      <c r="I67" s="23" t="s">
        <v>26</v>
      </c>
      <c r="J67" s="23" t="s">
        <v>65</v>
      </c>
      <c r="K67" s="30">
        <v>12000</v>
      </c>
    </row>
    <row r="68" spans="1:11" s="23" customFormat="1" x14ac:dyDescent="0.3">
      <c r="A68" s="23" t="s">
        <v>9</v>
      </c>
      <c r="B68" s="23" t="s">
        <v>874</v>
      </c>
      <c r="C68" s="23" t="s">
        <v>15</v>
      </c>
      <c r="D68" s="23" t="s">
        <v>875</v>
      </c>
      <c r="E68" s="43" t="s">
        <v>876</v>
      </c>
      <c r="F68" s="23">
        <v>1500</v>
      </c>
      <c r="G68" s="23">
        <v>1089503</v>
      </c>
      <c r="H68" s="23" t="s">
        <v>877</v>
      </c>
      <c r="I68" s="23" t="s">
        <v>201</v>
      </c>
      <c r="J68" s="23" t="s">
        <v>188</v>
      </c>
      <c r="K68" s="30">
        <v>14000</v>
      </c>
    </row>
    <row r="69" spans="1:11" s="23" customFormat="1" x14ac:dyDescent="0.3">
      <c r="A69" s="23" t="s">
        <v>9</v>
      </c>
      <c r="B69" s="23" t="s">
        <v>878</v>
      </c>
      <c r="C69" s="23" t="s">
        <v>15</v>
      </c>
      <c r="D69" s="23" t="s">
        <v>879</v>
      </c>
      <c r="E69" s="43" t="s">
        <v>880</v>
      </c>
      <c r="F69" s="23">
        <v>3000</v>
      </c>
      <c r="G69" s="23">
        <v>1089497</v>
      </c>
      <c r="H69" s="23" t="s">
        <v>881</v>
      </c>
      <c r="I69" s="23" t="s">
        <v>26</v>
      </c>
      <c r="J69" s="23" t="s">
        <v>74</v>
      </c>
      <c r="K69" s="30">
        <v>20000</v>
      </c>
    </row>
    <row r="70" spans="1:11" s="23" customFormat="1" x14ac:dyDescent="0.3">
      <c r="A70" s="23" t="s">
        <v>9</v>
      </c>
      <c r="B70" s="23" t="s">
        <v>570</v>
      </c>
      <c r="C70" s="23" t="s">
        <v>15</v>
      </c>
      <c r="D70" s="23" t="s">
        <v>882</v>
      </c>
      <c r="E70" s="43" t="s">
        <v>883</v>
      </c>
      <c r="F70" s="23">
        <v>3000</v>
      </c>
      <c r="G70" s="23">
        <v>1089467</v>
      </c>
      <c r="H70" s="23" t="s">
        <v>884</v>
      </c>
      <c r="I70" s="23" t="s">
        <v>26</v>
      </c>
      <c r="J70" s="23" t="s">
        <v>74</v>
      </c>
      <c r="K70" s="30">
        <v>20000</v>
      </c>
    </row>
    <row r="71" spans="1:11" s="23" customFormat="1" x14ac:dyDescent="0.3">
      <c r="A71" s="23" t="s">
        <v>9</v>
      </c>
      <c r="B71" s="23" t="s">
        <v>878</v>
      </c>
      <c r="C71" s="23" t="s">
        <v>15</v>
      </c>
      <c r="D71" s="23" t="s">
        <v>879</v>
      </c>
      <c r="E71" s="43" t="s">
        <v>880</v>
      </c>
      <c r="F71" s="23">
        <v>3000</v>
      </c>
      <c r="G71" s="23">
        <v>1089530</v>
      </c>
      <c r="H71" s="23" t="s">
        <v>885</v>
      </c>
      <c r="I71" s="23" t="s">
        <v>26</v>
      </c>
      <c r="J71" s="23" t="s">
        <v>316</v>
      </c>
      <c r="K71" s="30">
        <v>20000</v>
      </c>
    </row>
    <row r="72" spans="1:11" s="23" customFormat="1" x14ac:dyDescent="0.3">
      <c r="A72" s="23" t="s">
        <v>9</v>
      </c>
      <c r="B72" s="23" t="s">
        <v>886</v>
      </c>
      <c r="C72" s="23" t="s">
        <v>15</v>
      </c>
      <c r="D72" s="23" t="s">
        <v>0</v>
      </c>
      <c r="E72" s="43" t="s">
        <v>887</v>
      </c>
      <c r="F72" s="23">
        <v>3000</v>
      </c>
      <c r="G72" s="23">
        <v>1089473</v>
      </c>
      <c r="H72" s="23" t="s">
        <v>888</v>
      </c>
      <c r="I72" s="23" t="s">
        <v>34</v>
      </c>
      <c r="J72" s="23" t="s">
        <v>84</v>
      </c>
      <c r="K72" s="30">
        <v>18000</v>
      </c>
    </row>
    <row r="73" spans="1:11" s="23" customFormat="1" x14ac:dyDescent="0.3">
      <c r="A73" s="23" t="s">
        <v>9</v>
      </c>
      <c r="B73" s="23" t="s">
        <v>889</v>
      </c>
      <c r="C73" s="23" t="s">
        <v>15</v>
      </c>
      <c r="D73" s="23" t="s">
        <v>29</v>
      </c>
      <c r="F73" s="23">
        <v>0</v>
      </c>
      <c r="G73" s="23">
        <v>1089527</v>
      </c>
      <c r="H73" s="23" t="s">
        <v>890</v>
      </c>
      <c r="I73" s="23" t="s">
        <v>160</v>
      </c>
      <c r="J73" s="23" t="s">
        <v>84</v>
      </c>
      <c r="K73" s="30">
        <v>18000</v>
      </c>
    </row>
    <row r="74" spans="1:11" s="23" customFormat="1" x14ac:dyDescent="0.3">
      <c r="A74" s="23" t="s">
        <v>9</v>
      </c>
      <c r="B74" s="23" t="s">
        <v>432</v>
      </c>
      <c r="C74" s="23" t="s">
        <v>15</v>
      </c>
      <c r="D74" s="23" t="s">
        <v>29</v>
      </c>
      <c r="F74" s="23">
        <v>0</v>
      </c>
      <c r="G74" s="23">
        <v>1089478</v>
      </c>
      <c r="H74" s="23" t="s">
        <v>891</v>
      </c>
      <c r="I74" s="23" t="s">
        <v>26</v>
      </c>
      <c r="J74" s="23" t="s">
        <v>892</v>
      </c>
      <c r="K74" s="30">
        <v>35000</v>
      </c>
    </row>
    <row r="75" spans="1:11" s="23" customFormat="1" x14ac:dyDescent="0.3">
      <c r="A75" s="23" t="s">
        <v>9</v>
      </c>
      <c r="B75" s="23" t="s">
        <v>889</v>
      </c>
      <c r="C75" s="23" t="s">
        <v>15</v>
      </c>
      <c r="D75" s="23" t="s">
        <v>29</v>
      </c>
      <c r="F75" s="23">
        <v>0</v>
      </c>
      <c r="G75" s="23">
        <v>1089527</v>
      </c>
      <c r="H75" s="23" t="s">
        <v>890</v>
      </c>
      <c r="I75" s="23" t="s">
        <v>160</v>
      </c>
      <c r="J75" s="23" t="s">
        <v>98</v>
      </c>
      <c r="K75" s="30">
        <v>26000</v>
      </c>
    </row>
    <row r="76" spans="1:11" s="23" customFormat="1" x14ac:dyDescent="0.3">
      <c r="A76" s="23" t="s">
        <v>9</v>
      </c>
      <c r="B76" s="23" t="s">
        <v>893</v>
      </c>
      <c r="C76" s="23" t="s">
        <v>15</v>
      </c>
      <c r="D76" s="23" t="s">
        <v>573</v>
      </c>
      <c r="E76" s="43" t="s">
        <v>574</v>
      </c>
      <c r="F76" s="23">
        <v>3000</v>
      </c>
      <c r="G76" s="23">
        <v>1089506</v>
      </c>
      <c r="H76" s="23" t="s">
        <v>894</v>
      </c>
      <c r="I76" s="23" t="s">
        <v>482</v>
      </c>
      <c r="J76" s="23" t="s">
        <v>195</v>
      </c>
      <c r="K76" s="30">
        <v>20000</v>
      </c>
    </row>
    <row r="77" spans="1:11" s="23" customFormat="1" x14ac:dyDescent="0.3">
      <c r="A77" s="23" t="s">
        <v>9</v>
      </c>
      <c r="B77" s="23" t="s">
        <v>895</v>
      </c>
      <c r="C77" s="23" t="s">
        <v>15</v>
      </c>
      <c r="D77" s="23" t="s">
        <v>175</v>
      </c>
      <c r="E77" s="43" t="s">
        <v>176</v>
      </c>
      <c r="F77" s="23">
        <v>3000</v>
      </c>
      <c r="G77" s="23">
        <v>1089532</v>
      </c>
      <c r="H77" s="23" t="s">
        <v>896</v>
      </c>
      <c r="I77" s="23" t="s">
        <v>201</v>
      </c>
      <c r="J77" s="23" t="s">
        <v>199</v>
      </c>
      <c r="K77" s="30">
        <v>21000</v>
      </c>
    </row>
    <row r="78" spans="1:11" s="23" customFormat="1" x14ac:dyDescent="0.3">
      <c r="A78" s="23" t="s">
        <v>9</v>
      </c>
      <c r="B78" s="23" t="s">
        <v>866</v>
      </c>
      <c r="C78" s="23" t="s">
        <v>15</v>
      </c>
      <c r="D78" s="23" t="s">
        <v>29</v>
      </c>
      <c r="F78" s="23">
        <v>0</v>
      </c>
      <c r="G78" s="23">
        <v>1089468</v>
      </c>
      <c r="H78" s="23" t="s">
        <v>897</v>
      </c>
      <c r="I78" s="23" t="s">
        <v>26</v>
      </c>
      <c r="J78" s="23" t="s">
        <v>110</v>
      </c>
      <c r="K78" s="30">
        <v>6000</v>
      </c>
    </row>
    <row r="79" spans="1:11" s="23" customFormat="1" x14ac:dyDescent="0.3">
      <c r="A79" s="23" t="s">
        <v>9</v>
      </c>
      <c r="B79" s="23" t="s">
        <v>866</v>
      </c>
      <c r="C79" s="23" t="s">
        <v>15</v>
      </c>
      <c r="D79" s="23" t="s">
        <v>29</v>
      </c>
      <c r="F79" s="23">
        <v>0</v>
      </c>
      <c r="G79" s="23">
        <v>1089468</v>
      </c>
      <c r="H79" s="23" t="s">
        <v>897</v>
      </c>
      <c r="I79" s="23" t="s">
        <v>26</v>
      </c>
      <c r="J79" s="23" t="s">
        <v>337</v>
      </c>
      <c r="K79" s="30">
        <v>4000</v>
      </c>
    </row>
    <row r="80" spans="1:11" s="23" customFormat="1" x14ac:dyDescent="0.3">
      <c r="A80" s="23" t="s">
        <v>9</v>
      </c>
      <c r="B80" s="23" t="s">
        <v>866</v>
      </c>
      <c r="C80" s="23" t="s">
        <v>15</v>
      </c>
      <c r="D80" s="23" t="s">
        <v>29</v>
      </c>
      <c r="E80" s="43" t="s">
        <v>868</v>
      </c>
      <c r="F80" s="23">
        <v>0</v>
      </c>
      <c r="G80" s="23">
        <v>1089469</v>
      </c>
      <c r="H80" s="23" t="s">
        <v>869</v>
      </c>
      <c r="I80" s="23" t="s">
        <v>26</v>
      </c>
      <c r="J80" s="23" t="s">
        <v>116</v>
      </c>
      <c r="K80" s="30">
        <v>5000</v>
      </c>
    </row>
    <row r="81" spans="1:11" x14ac:dyDescent="0.3">
      <c r="A81" t="s">
        <v>185</v>
      </c>
      <c r="B81" t="s">
        <v>192</v>
      </c>
      <c r="G81">
        <v>1089515</v>
      </c>
      <c r="H81" t="s">
        <v>898</v>
      </c>
      <c r="I81" t="s">
        <v>60</v>
      </c>
      <c r="J81" t="s">
        <v>84</v>
      </c>
      <c r="K81" s="31">
        <v>18000</v>
      </c>
    </row>
    <row r="82" spans="1:11" x14ac:dyDescent="0.3">
      <c r="A82" t="s">
        <v>185</v>
      </c>
      <c r="B82" t="s">
        <v>899</v>
      </c>
      <c r="G82">
        <v>1089507</v>
      </c>
      <c r="H82" t="s">
        <v>900</v>
      </c>
      <c r="I82" t="s">
        <v>26</v>
      </c>
      <c r="J82" t="s">
        <v>84</v>
      </c>
      <c r="K82" s="31">
        <v>20000</v>
      </c>
    </row>
    <row r="83" spans="1:11" x14ac:dyDescent="0.3">
      <c r="A83" t="s">
        <v>185</v>
      </c>
      <c r="B83" t="s">
        <v>186</v>
      </c>
      <c r="G83">
        <v>1089521</v>
      </c>
      <c r="H83" t="s">
        <v>901</v>
      </c>
      <c r="I83" t="s">
        <v>64</v>
      </c>
      <c r="J83" t="s">
        <v>195</v>
      </c>
      <c r="K83" s="31">
        <v>18000</v>
      </c>
    </row>
    <row r="84" spans="1:11" x14ac:dyDescent="0.3">
      <c r="A84" t="s">
        <v>185</v>
      </c>
      <c r="B84" t="s">
        <v>902</v>
      </c>
      <c r="G84">
        <v>1089516</v>
      </c>
      <c r="H84" t="s">
        <v>903</v>
      </c>
      <c r="I84" t="s">
        <v>26</v>
      </c>
      <c r="J84" t="s">
        <v>195</v>
      </c>
      <c r="K84" s="31">
        <v>20000</v>
      </c>
    </row>
    <row r="85" spans="1:11" x14ac:dyDescent="0.3">
      <c r="A85" t="s">
        <v>185</v>
      </c>
      <c r="B85" t="s">
        <v>899</v>
      </c>
      <c r="G85">
        <v>1089538</v>
      </c>
      <c r="H85" t="s">
        <v>904</v>
      </c>
      <c r="I85" t="s">
        <v>210</v>
      </c>
      <c r="J85" t="s">
        <v>141</v>
      </c>
      <c r="K85" s="31">
        <v>4000</v>
      </c>
    </row>
    <row r="86" spans="1:11" x14ac:dyDescent="0.3">
      <c r="A86" t="s">
        <v>185</v>
      </c>
      <c r="B86" t="s">
        <v>295</v>
      </c>
      <c r="G86">
        <v>1089536</v>
      </c>
      <c r="H86" t="s">
        <v>905</v>
      </c>
      <c r="I86" t="s">
        <v>210</v>
      </c>
      <c r="J86" t="s">
        <v>141</v>
      </c>
      <c r="K86" s="31">
        <v>4000</v>
      </c>
    </row>
    <row r="87" spans="1:11" x14ac:dyDescent="0.3">
      <c r="A87" t="s">
        <v>185</v>
      </c>
      <c r="B87" t="s">
        <v>902</v>
      </c>
      <c r="G87">
        <v>1089465</v>
      </c>
      <c r="H87" t="s">
        <v>906</v>
      </c>
      <c r="I87" t="s">
        <v>160</v>
      </c>
      <c r="J87" t="s">
        <v>150</v>
      </c>
      <c r="K87" s="31">
        <v>2500</v>
      </c>
    </row>
    <row r="88" spans="1:11" x14ac:dyDescent="0.3">
      <c r="A88" t="s">
        <v>185</v>
      </c>
      <c r="B88" t="s">
        <v>295</v>
      </c>
      <c r="G88">
        <v>1089541</v>
      </c>
      <c r="H88" t="s">
        <v>907</v>
      </c>
      <c r="I88" t="s">
        <v>210</v>
      </c>
      <c r="J88" t="s">
        <v>226</v>
      </c>
      <c r="K88" s="31">
        <v>2000</v>
      </c>
    </row>
    <row r="89" spans="1:11" x14ac:dyDescent="0.3">
      <c r="A89" t="s">
        <v>185</v>
      </c>
      <c r="B89" t="s">
        <v>186</v>
      </c>
      <c r="G89">
        <v>1089535</v>
      </c>
      <c r="H89" t="s">
        <v>908</v>
      </c>
      <c r="I89" t="s">
        <v>210</v>
      </c>
      <c r="J89" t="s">
        <v>226</v>
      </c>
      <c r="K89" s="31">
        <v>2000</v>
      </c>
    </row>
    <row r="90" spans="1:11" x14ac:dyDescent="0.3">
      <c r="A90" t="s">
        <v>185</v>
      </c>
      <c r="B90" t="s">
        <v>902</v>
      </c>
      <c r="G90">
        <v>1089534</v>
      </c>
      <c r="H90" t="s">
        <v>909</v>
      </c>
      <c r="I90" t="s">
        <v>210</v>
      </c>
      <c r="J90" t="s">
        <v>226</v>
      </c>
      <c r="K90" s="31">
        <v>2000</v>
      </c>
    </row>
    <row r="91" spans="1:11" x14ac:dyDescent="0.3">
      <c r="A91" t="s">
        <v>185</v>
      </c>
      <c r="B91" t="s">
        <v>899</v>
      </c>
      <c r="G91">
        <v>1089533</v>
      </c>
      <c r="H91" t="s">
        <v>910</v>
      </c>
      <c r="I91" t="s">
        <v>210</v>
      </c>
      <c r="J91" t="s">
        <v>226</v>
      </c>
      <c r="K91" s="31">
        <v>2000</v>
      </c>
    </row>
    <row r="92" spans="1:11" x14ac:dyDescent="0.3">
      <c r="A92" t="s">
        <v>185</v>
      </c>
      <c r="B92" t="s">
        <v>189</v>
      </c>
      <c r="G92">
        <v>1089510</v>
      </c>
      <c r="H92" t="s">
        <v>911</v>
      </c>
      <c r="I92" t="s">
        <v>26</v>
      </c>
      <c r="J92" t="s">
        <v>184</v>
      </c>
      <c r="K92" s="31">
        <v>2500</v>
      </c>
    </row>
    <row r="93" spans="1:11" x14ac:dyDescent="0.3">
      <c r="A93" t="s">
        <v>185</v>
      </c>
      <c r="B93" t="s">
        <v>899</v>
      </c>
      <c r="G93">
        <v>1089538</v>
      </c>
      <c r="H93" t="s">
        <v>904</v>
      </c>
      <c r="I93" t="s">
        <v>210</v>
      </c>
      <c r="J93" t="s">
        <v>231</v>
      </c>
      <c r="K93" s="31">
        <v>2500</v>
      </c>
    </row>
    <row r="94" spans="1:11" x14ac:dyDescent="0.3">
      <c r="A94" t="s">
        <v>185</v>
      </c>
      <c r="B94" t="s">
        <v>899</v>
      </c>
      <c r="G94">
        <v>1089533</v>
      </c>
      <c r="H94" t="s">
        <v>910</v>
      </c>
      <c r="I94" t="s">
        <v>210</v>
      </c>
      <c r="J94" t="s">
        <v>231</v>
      </c>
      <c r="K94" s="31">
        <v>2500</v>
      </c>
    </row>
    <row r="95" spans="1:11" x14ac:dyDescent="0.3">
      <c r="A95" t="s">
        <v>185</v>
      </c>
      <c r="B95" t="s">
        <v>295</v>
      </c>
      <c r="G95">
        <v>1089540</v>
      </c>
      <c r="H95" t="s">
        <v>912</v>
      </c>
      <c r="I95" t="s">
        <v>210</v>
      </c>
      <c r="J95" t="s">
        <v>233</v>
      </c>
      <c r="K95" s="31">
        <v>2500</v>
      </c>
    </row>
    <row r="96" spans="1:11" x14ac:dyDescent="0.3">
      <c r="A96" t="s">
        <v>185</v>
      </c>
      <c r="B96" t="s">
        <v>899</v>
      </c>
      <c r="G96">
        <v>1089533</v>
      </c>
      <c r="H96" t="s">
        <v>910</v>
      </c>
      <c r="I96" t="s">
        <v>210</v>
      </c>
      <c r="J96" t="s">
        <v>233</v>
      </c>
      <c r="K96" s="31">
        <v>2500</v>
      </c>
    </row>
    <row r="97" spans="1:11" x14ac:dyDescent="0.3">
      <c r="A97" t="s">
        <v>185</v>
      </c>
      <c r="B97" t="s">
        <v>192</v>
      </c>
      <c r="G97">
        <v>1089537</v>
      </c>
      <c r="H97" t="s">
        <v>913</v>
      </c>
      <c r="I97" t="s">
        <v>210</v>
      </c>
      <c r="J97" t="s">
        <v>914</v>
      </c>
      <c r="K97" s="31">
        <v>5000</v>
      </c>
    </row>
    <row r="98" spans="1:11" x14ac:dyDescent="0.3">
      <c r="A98" t="s">
        <v>185</v>
      </c>
      <c r="B98" t="s">
        <v>902</v>
      </c>
      <c r="G98">
        <v>1089539</v>
      </c>
      <c r="H98" t="s">
        <v>915</v>
      </c>
      <c r="I98" t="s">
        <v>210</v>
      </c>
      <c r="J98" t="s">
        <v>563</v>
      </c>
      <c r="K98" s="31">
        <v>2000</v>
      </c>
    </row>
    <row r="99" spans="1:11" ht="15" thickBot="1" x14ac:dyDescent="0.35">
      <c r="K99" s="47">
        <f>SUM(K2:K98)</f>
        <v>990400</v>
      </c>
    </row>
    <row r="100" spans="1:11" ht="15" thickTop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F15" sqref="F15"/>
    </sheetView>
  </sheetViews>
  <sheetFormatPr defaultRowHeight="14.4" x14ac:dyDescent="0.3"/>
  <cols>
    <col min="1" max="1" width="10.21875" customWidth="1"/>
    <col min="2" max="2" width="23.77734375" customWidth="1"/>
    <col min="3" max="3" width="4.21875" customWidth="1"/>
    <col min="8" max="8" width="25.5546875" customWidth="1"/>
    <col min="9" max="9" width="19" customWidth="1"/>
    <col min="10" max="10" width="25.5546875" customWidth="1"/>
    <col min="11" max="11" width="11.77734375" bestFit="1" customWidth="1"/>
  </cols>
  <sheetData>
    <row r="1" spans="1:11" s="46" customFormat="1" x14ac:dyDescent="0.3">
      <c r="A1" s="1" t="s">
        <v>13</v>
      </c>
      <c r="B1" s="1" t="s">
        <v>14</v>
      </c>
      <c r="C1" s="1" t="s">
        <v>15</v>
      </c>
      <c r="D1" s="3" t="s">
        <v>16</v>
      </c>
      <c r="E1" s="3" t="s">
        <v>17</v>
      </c>
      <c r="F1" s="3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s="18" customFormat="1" x14ac:dyDescent="0.3">
      <c r="A2" s="18" t="s">
        <v>11</v>
      </c>
      <c r="B2" s="18" t="s">
        <v>916</v>
      </c>
      <c r="G2" s="18">
        <v>1089547</v>
      </c>
      <c r="H2" s="18" t="s">
        <v>917</v>
      </c>
      <c r="I2" s="18" t="s">
        <v>26</v>
      </c>
      <c r="J2" s="18" t="s">
        <v>68</v>
      </c>
      <c r="K2" s="27">
        <v>14000</v>
      </c>
    </row>
    <row r="3" spans="1:11" s="18" customFormat="1" x14ac:dyDescent="0.3">
      <c r="A3" s="18" t="s">
        <v>11</v>
      </c>
      <c r="B3" s="18" t="s">
        <v>918</v>
      </c>
      <c r="G3" s="18">
        <v>1089554</v>
      </c>
      <c r="H3" s="18" t="s">
        <v>919</v>
      </c>
      <c r="I3" s="18" t="s">
        <v>34</v>
      </c>
      <c r="J3" s="18" t="s">
        <v>621</v>
      </c>
      <c r="K3" s="27">
        <v>20000</v>
      </c>
    </row>
    <row r="4" spans="1:11" s="18" customFormat="1" x14ac:dyDescent="0.3">
      <c r="A4" s="18" t="s">
        <v>11</v>
      </c>
      <c r="B4" s="18" t="s">
        <v>920</v>
      </c>
      <c r="G4" s="18">
        <v>1089551</v>
      </c>
      <c r="H4" s="18" t="s">
        <v>921</v>
      </c>
      <c r="I4" s="18" t="s">
        <v>26</v>
      </c>
      <c r="J4" s="18" t="s">
        <v>74</v>
      </c>
      <c r="K4" s="27">
        <v>20000</v>
      </c>
    </row>
    <row r="5" spans="1:11" s="18" customFormat="1" x14ac:dyDescent="0.3">
      <c r="A5" s="18" t="s">
        <v>11</v>
      </c>
      <c r="B5" s="18" t="s">
        <v>922</v>
      </c>
      <c r="G5" s="18">
        <v>1089552</v>
      </c>
      <c r="H5" s="18" t="s">
        <v>923</v>
      </c>
      <c r="I5" s="18" t="s">
        <v>160</v>
      </c>
      <c r="J5" s="18" t="s">
        <v>45</v>
      </c>
      <c r="K5" s="27">
        <v>20000</v>
      </c>
    </row>
    <row r="6" spans="1:11" s="18" customFormat="1" x14ac:dyDescent="0.3">
      <c r="A6" s="18" t="s">
        <v>11</v>
      </c>
      <c r="B6" s="18" t="s">
        <v>924</v>
      </c>
      <c r="G6" s="18">
        <v>1089545</v>
      </c>
      <c r="H6" s="18" t="s">
        <v>925</v>
      </c>
      <c r="I6" s="18" t="s">
        <v>26</v>
      </c>
      <c r="J6" s="18" t="s">
        <v>45</v>
      </c>
      <c r="K6" s="27">
        <v>25000</v>
      </c>
    </row>
    <row r="7" spans="1:11" s="18" customFormat="1" x14ac:dyDescent="0.3">
      <c r="A7" s="18" t="s">
        <v>11</v>
      </c>
      <c r="B7" s="18" t="s">
        <v>487</v>
      </c>
      <c r="G7" s="18">
        <v>1089589</v>
      </c>
      <c r="H7" s="18" t="s">
        <v>926</v>
      </c>
      <c r="I7" s="18" t="s">
        <v>210</v>
      </c>
      <c r="J7" s="18" t="s">
        <v>561</v>
      </c>
      <c r="K7" s="27">
        <v>2500</v>
      </c>
    </row>
    <row r="8" spans="1:11" s="10" customFormat="1" x14ac:dyDescent="0.3">
      <c r="A8" s="10" t="s">
        <v>0</v>
      </c>
      <c r="B8" s="10" t="s">
        <v>271</v>
      </c>
      <c r="G8" s="10">
        <v>1089608</v>
      </c>
      <c r="H8" s="10" t="s">
        <v>927</v>
      </c>
      <c r="I8" s="10" t="s">
        <v>160</v>
      </c>
      <c r="J8" s="10" t="s">
        <v>48</v>
      </c>
      <c r="K8" s="29">
        <v>2500</v>
      </c>
    </row>
    <row r="9" spans="1:11" s="10" customFormat="1" x14ac:dyDescent="0.3">
      <c r="A9" s="10" t="s">
        <v>0</v>
      </c>
      <c r="B9" s="10" t="s">
        <v>143</v>
      </c>
      <c r="G9" s="10">
        <v>1089598</v>
      </c>
      <c r="H9" s="10" t="s">
        <v>928</v>
      </c>
      <c r="I9" s="10" t="s">
        <v>26</v>
      </c>
      <c r="J9" s="10" t="s">
        <v>465</v>
      </c>
      <c r="K9" s="29">
        <v>14000</v>
      </c>
    </row>
    <row r="10" spans="1:11" s="10" customFormat="1" x14ac:dyDescent="0.3">
      <c r="A10" s="10" t="s">
        <v>0</v>
      </c>
      <c r="B10" s="10" t="s">
        <v>929</v>
      </c>
      <c r="G10" s="10">
        <v>1089622</v>
      </c>
      <c r="H10" s="10" t="s">
        <v>930</v>
      </c>
      <c r="I10" s="10" t="s">
        <v>64</v>
      </c>
      <c r="J10" s="10" t="s">
        <v>465</v>
      </c>
      <c r="K10" s="29">
        <v>12000</v>
      </c>
    </row>
    <row r="11" spans="1:11" s="10" customFormat="1" x14ac:dyDescent="0.3">
      <c r="A11" s="10" t="s">
        <v>0</v>
      </c>
      <c r="B11" s="10" t="s">
        <v>931</v>
      </c>
      <c r="G11" s="10">
        <v>1089565</v>
      </c>
      <c r="H11" s="10" t="s">
        <v>932</v>
      </c>
      <c r="I11" s="10" t="s">
        <v>26</v>
      </c>
      <c r="J11" s="10" t="s">
        <v>465</v>
      </c>
      <c r="K11" s="29">
        <v>14000</v>
      </c>
    </row>
    <row r="12" spans="1:11" s="10" customFormat="1" x14ac:dyDescent="0.3">
      <c r="A12" s="10" t="s">
        <v>0</v>
      </c>
      <c r="B12" s="10" t="s">
        <v>77</v>
      </c>
      <c r="G12" s="10">
        <v>1089576</v>
      </c>
      <c r="H12" s="10" t="s">
        <v>933</v>
      </c>
      <c r="I12" s="10" t="s">
        <v>26</v>
      </c>
      <c r="J12" s="10" t="s">
        <v>499</v>
      </c>
      <c r="K12" s="29">
        <v>18000</v>
      </c>
    </row>
    <row r="13" spans="1:11" s="10" customFormat="1" x14ac:dyDescent="0.3">
      <c r="A13" s="10" t="s">
        <v>0</v>
      </c>
      <c r="B13" s="10" t="s">
        <v>271</v>
      </c>
      <c r="G13" s="10">
        <v>1089583</v>
      </c>
      <c r="H13" s="10" t="s">
        <v>934</v>
      </c>
      <c r="I13" s="10" t="s">
        <v>26</v>
      </c>
      <c r="J13" s="10" t="s">
        <v>51</v>
      </c>
      <c r="K13" s="29">
        <v>15000</v>
      </c>
    </row>
    <row r="14" spans="1:11" s="10" customFormat="1" x14ac:dyDescent="0.3">
      <c r="A14" s="10" t="s">
        <v>0</v>
      </c>
      <c r="B14" s="10" t="s">
        <v>935</v>
      </c>
      <c r="G14" s="10">
        <v>1089617</v>
      </c>
      <c r="H14" s="10" t="s">
        <v>679</v>
      </c>
      <c r="I14" s="10" t="s">
        <v>26</v>
      </c>
      <c r="J14" s="10" t="s">
        <v>51</v>
      </c>
      <c r="K14" s="29">
        <v>15000</v>
      </c>
    </row>
    <row r="15" spans="1:11" s="10" customFormat="1" x14ac:dyDescent="0.3">
      <c r="A15" s="10" t="s">
        <v>0</v>
      </c>
      <c r="B15" s="10" t="s">
        <v>504</v>
      </c>
      <c r="G15" s="10">
        <v>1089592</v>
      </c>
      <c r="H15" s="10" t="s">
        <v>936</v>
      </c>
      <c r="I15" s="10" t="s">
        <v>26</v>
      </c>
      <c r="J15" s="10" t="s">
        <v>61</v>
      </c>
      <c r="K15" s="29">
        <v>14000</v>
      </c>
    </row>
    <row r="16" spans="1:11" s="10" customFormat="1" x14ac:dyDescent="0.3">
      <c r="A16" s="10" t="s">
        <v>0</v>
      </c>
      <c r="B16" s="10" t="s">
        <v>937</v>
      </c>
      <c r="G16" s="10">
        <v>1089618</v>
      </c>
      <c r="H16" s="10" t="s">
        <v>938</v>
      </c>
      <c r="I16" s="10" t="s">
        <v>26</v>
      </c>
      <c r="J16" s="10" t="s">
        <v>61</v>
      </c>
      <c r="K16" s="29">
        <v>14000</v>
      </c>
    </row>
    <row r="17" spans="1:11" s="10" customFormat="1" x14ac:dyDescent="0.3">
      <c r="A17" s="10" t="s">
        <v>0</v>
      </c>
      <c r="B17" s="10" t="s">
        <v>117</v>
      </c>
      <c r="G17" s="10">
        <v>1089570</v>
      </c>
      <c r="H17" s="10" t="s">
        <v>939</v>
      </c>
      <c r="I17" s="10" t="s">
        <v>26</v>
      </c>
      <c r="J17" s="10" t="s">
        <v>31</v>
      </c>
      <c r="K17" s="29">
        <v>7500</v>
      </c>
    </row>
    <row r="18" spans="1:11" s="10" customFormat="1" x14ac:dyDescent="0.3">
      <c r="A18" s="10" t="s">
        <v>0</v>
      </c>
      <c r="B18" s="10" t="s">
        <v>77</v>
      </c>
      <c r="G18" s="10">
        <v>1089556</v>
      </c>
      <c r="H18" s="10" t="s">
        <v>940</v>
      </c>
      <c r="I18" s="10" t="s">
        <v>64</v>
      </c>
      <c r="J18" s="10" t="s">
        <v>74</v>
      </c>
      <c r="K18" s="29">
        <v>18000</v>
      </c>
    </row>
    <row r="19" spans="1:11" s="10" customFormat="1" x14ac:dyDescent="0.3">
      <c r="A19" s="10" t="s">
        <v>0</v>
      </c>
      <c r="B19" s="10" t="s">
        <v>77</v>
      </c>
      <c r="G19" s="10">
        <v>1089559</v>
      </c>
      <c r="H19" s="10" t="s">
        <v>941</v>
      </c>
      <c r="I19" s="10" t="s">
        <v>26</v>
      </c>
      <c r="J19" s="10" t="s">
        <v>353</v>
      </c>
      <c r="K19" s="29">
        <v>27000</v>
      </c>
    </row>
    <row r="20" spans="1:11" s="10" customFormat="1" x14ac:dyDescent="0.3">
      <c r="A20" s="10" t="s">
        <v>0</v>
      </c>
      <c r="B20" s="10" t="s">
        <v>77</v>
      </c>
      <c r="G20" s="10">
        <v>1089556</v>
      </c>
      <c r="H20" s="10" t="s">
        <v>940</v>
      </c>
      <c r="I20" s="10" t="s">
        <v>64</v>
      </c>
      <c r="J20" s="10" t="s">
        <v>316</v>
      </c>
      <c r="K20" s="29">
        <v>18000</v>
      </c>
    </row>
    <row r="21" spans="1:11" s="10" customFormat="1" x14ac:dyDescent="0.3">
      <c r="A21" s="10" t="s">
        <v>0</v>
      </c>
      <c r="B21" s="10" t="s">
        <v>942</v>
      </c>
      <c r="G21" s="10">
        <v>1089619</v>
      </c>
      <c r="H21" s="10" t="s">
        <v>943</v>
      </c>
      <c r="I21" s="10" t="s">
        <v>38</v>
      </c>
      <c r="J21" s="10" t="s">
        <v>944</v>
      </c>
      <c r="K21" s="29">
        <v>35100</v>
      </c>
    </row>
    <row r="22" spans="1:11" s="10" customFormat="1" x14ac:dyDescent="0.3">
      <c r="A22" s="10" t="s">
        <v>0</v>
      </c>
      <c r="B22" s="10" t="s">
        <v>945</v>
      </c>
      <c r="G22" s="10">
        <v>1089543</v>
      </c>
      <c r="H22" s="10" t="s">
        <v>946</v>
      </c>
      <c r="I22" s="10" t="s">
        <v>26</v>
      </c>
      <c r="J22" s="10" t="s">
        <v>483</v>
      </c>
      <c r="K22" s="29">
        <v>25000</v>
      </c>
    </row>
    <row r="23" spans="1:11" s="10" customFormat="1" x14ac:dyDescent="0.3">
      <c r="A23" s="10" t="s">
        <v>0</v>
      </c>
      <c r="B23" s="10" t="s">
        <v>672</v>
      </c>
      <c r="G23" s="10">
        <v>1089621</v>
      </c>
      <c r="H23" s="10" t="s">
        <v>947</v>
      </c>
      <c r="I23" s="10" t="s">
        <v>26</v>
      </c>
      <c r="J23" s="10" t="s">
        <v>486</v>
      </c>
      <c r="K23" s="29">
        <v>22000</v>
      </c>
    </row>
    <row r="24" spans="1:11" s="10" customFormat="1" x14ac:dyDescent="0.3">
      <c r="A24" s="10" t="s">
        <v>0</v>
      </c>
      <c r="B24" s="10" t="s">
        <v>948</v>
      </c>
      <c r="G24" s="10">
        <v>1089624</v>
      </c>
      <c r="H24" s="10" t="s">
        <v>949</v>
      </c>
      <c r="I24" s="10" t="s">
        <v>26</v>
      </c>
      <c r="J24" s="10" t="s">
        <v>39</v>
      </c>
      <c r="K24" s="29">
        <v>20000</v>
      </c>
    </row>
    <row r="25" spans="1:11" s="10" customFormat="1" x14ac:dyDescent="0.3">
      <c r="A25" s="10" t="s">
        <v>0</v>
      </c>
      <c r="B25" s="10" t="s">
        <v>950</v>
      </c>
      <c r="G25" s="10">
        <v>1089595</v>
      </c>
      <c r="H25" s="10" t="s">
        <v>951</v>
      </c>
      <c r="I25" s="10" t="s">
        <v>160</v>
      </c>
      <c r="J25" s="10" t="s">
        <v>84</v>
      </c>
      <c r="K25" s="29">
        <v>18000</v>
      </c>
    </row>
    <row r="26" spans="1:11" s="10" customFormat="1" x14ac:dyDescent="0.3">
      <c r="A26" s="10" t="s">
        <v>0</v>
      </c>
      <c r="B26" s="10" t="s">
        <v>952</v>
      </c>
      <c r="G26" s="10">
        <v>1089602</v>
      </c>
      <c r="H26" s="10" t="s">
        <v>953</v>
      </c>
      <c r="I26" s="10" t="s">
        <v>26</v>
      </c>
      <c r="J26" s="10" t="s">
        <v>84</v>
      </c>
      <c r="K26" s="29">
        <v>20000</v>
      </c>
    </row>
    <row r="27" spans="1:11" s="10" customFormat="1" x14ac:dyDescent="0.3">
      <c r="A27" s="10" t="s">
        <v>0</v>
      </c>
      <c r="B27" s="10" t="s">
        <v>90</v>
      </c>
      <c r="G27" s="10">
        <v>1089549</v>
      </c>
      <c r="H27" s="10" t="s">
        <v>954</v>
      </c>
      <c r="I27" s="10" t="s">
        <v>26</v>
      </c>
      <c r="J27" s="10" t="s">
        <v>92</v>
      </c>
      <c r="K27" s="29">
        <v>28000</v>
      </c>
    </row>
    <row r="28" spans="1:11" s="10" customFormat="1" x14ac:dyDescent="0.3">
      <c r="A28" s="10" t="s">
        <v>0</v>
      </c>
      <c r="B28" s="10" t="s">
        <v>77</v>
      </c>
      <c r="G28" s="10">
        <v>1089556</v>
      </c>
      <c r="H28" s="10" t="s">
        <v>940</v>
      </c>
      <c r="I28" s="10" t="s">
        <v>64</v>
      </c>
      <c r="J28" s="10" t="s">
        <v>793</v>
      </c>
      <c r="K28" s="29">
        <v>20000</v>
      </c>
    </row>
    <row r="29" spans="1:11" s="10" customFormat="1" x14ac:dyDescent="0.3">
      <c r="A29" s="10" t="s">
        <v>0</v>
      </c>
      <c r="B29" s="10" t="s">
        <v>955</v>
      </c>
      <c r="G29" s="10">
        <v>1089605</v>
      </c>
      <c r="H29" s="10" t="s">
        <v>956</v>
      </c>
      <c r="I29" s="10" t="s">
        <v>60</v>
      </c>
      <c r="J29" s="10" t="s">
        <v>957</v>
      </c>
      <c r="K29" s="29">
        <v>50000</v>
      </c>
    </row>
    <row r="30" spans="1:11" s="10" customFormat="1" x14ac:dyDescent="0.3">
      <c r="A30" s="10" t="s">
        <v>0</v>
      </c>
      <c r="B30" s="10" t="s">
        <v>271</v>
      </c>
      <c r="G30" s="10">
        <v>1089614</v>
      </c>
      <c r="H30" s="10" t="s">
        <v>958</v>
      </c>
      <c r="I30" s="10" t="s">
        <v>160</v>
      </c>
      <c r="J30" s="10" t="s">
        <v>104</v>
      </c>
      <c r="K30" s="29">
        <v>4000</v>
      </c>
    </row>
    <row r="31" spans="1:11" s="10" customFormat="1" x14ac:dyDescent="0.3">
      <c r="A31" s="10" t="s">
        <v>0</v>
      </c>
      <c r="B31" s="10" t="s">
        <v>271</v>
      </c>
      <c r="G31" s="10">
        <v>1089608</v>
      </c>
      <c r="H31" s="10" t="s">
        <v>927</v>
      </c>
      <c r="I31" s="10" t="s">
        <v>160</v>
      </c>
      <c r="J31" s="10" t="s">
        <v>104</v>
      </c>
      <c r="K31" s="29">
        <v>4000</v>
      </c>
    </row>
    <row r="32" spans="1:11" s="10" customFormat="1" x14ac:dyDescent="0.3">
      <c r="A32" s="10" t="s">
        <v>0</v>
      </c>
      <c r="B32" s="10" t="s">
        <v>271</v>
      </c>
      <c r="G32" s="10">
        <v>1089544</v>
      </c>
      <c r="H32" s="10" t="s">
        <v>959</v>
      </c>
      <c r="I32" s="10" t="s">
        <v>26</v>
      </c>
      <c r="J32" s="10" t="s">
        <v>104</v>
      </c>
      <c r="K32" s="29">
        <v>3000</v>
      </c>
    </row>
    <row r="33" spans="1:11" s="10" customFormat="1" x14ac:dyDescent="0.3">
      <c r="A33" s="10" t="s">
        <v>0</v>
      </c>
      <c r="B33" s="10" t="s">
        <v>77</v>
      </c>
      <c r="G33" s="10">
        <v>1089564</v>
      </c>
      <c r="H33" s="10" t="s">
        <v>960</v>
      </c>
      <c r="I33" s="10" t="s">
        <v>26</v>
      </c>
      <c r="J33" s="10" t="s">
        <v>104</v>
      </c>
      <c r="K33" s="29">
        <v>3000</v>
      </c>
    </row>
    <row r="34" spans="1:11" s="10" customFormat="1" x14ac:dyDescent="0.3">
      <c r="A34" s="10" t="s">
        <v>0</v>
      </c>
      <c r="B34" s="10" t="s">
        <v>263</v>
      </c>
      <c r="G34" s="10">
        <v>1089563</v>
      </c>
      <c r="H34" s="10" t="s">
        <v>961</v>
      </c>
      <c r="I34" s="10" t="s">
        <v>26</v>
      </c>
      <c r="J34" s="10" t="s">
        <v>837</v>
      </c>
      <c r="K34" s="29">
        <v>8000</v>
      </c>
    </row>
    <row r="35" spans="1:11" s="10" customFormat="1" x14ac:dyDescent="0.3">
      <c r="A35" s="10" t="s">
        <v>0</v>
      </c>
      <c r="B35" s="10" t="s">
        <v>962</v>
      </c>
      <c r="G35" s="10">
        <v>1089577</v>
      </c>
      <c r="H35" s="10" t="s">
        <v>963</v>
      </c>
      <c r="I35" s="10" t="s">
        <v>26</v>
      </c>
      <c r="J35" s="10" t="s">
        <v>116</v>
      </c>
      <c r="K35" s="29">
        <v>5000</v>
      </c>
    </row>
    <row r="36" spans="1:11" s="10" customFormat="1" x14ac:dyDescent="0.3">
      <c r="A36" s="10" t="s">
        <v>0</v>
      </c>
      <c r="B36" s="10" t="s">
        <v>130</v>
      </c>
      <c r="G36" s="10">
        <v>1089561</v>
      </c>
      <c r="H36" s="10" t="s">
        <v>964</v>
      </c>
      <c r="I36" s="10" t="s">
        <v>160</v>
      </c>
      <c r="J36" s="10" t="s">
        <v>124</v>
      </c>
      <c r="K36" s="29">
        <v>4000</v>
      </c>
    </row>
    <row r="37" spans="1:11" s="10" customFormat="1" x14ac:dyDescent="0.3">
      <c r="A37" s="10" t="s">
        <v>0</v>
      </c>
      <c r="B37" s="10" t="s">
        <v>125</v>
      </c>
      <c r="G37" s="10">
        <v>1089603</v>
      </c>
      <c r="H37" s="10" t="s">
        <v>965</v>
      </c>
      <c r="I37" s="10" t="s">
        <v>26</v>
      </c>
      <c r="J37" s="10" t="s">
        <v>124</v>
      </c>
      <c r="K37" s="29">
        <v>3000</v>
      </c>
    </row>
    <row r="38" spans="1:11" s="10" customFormat="1" x14ac:dyDescent="0.3">
      <c r="A38" s="10" t="s">
        <v>0</v>
      </c>
      <c r="B38" s="10" t="s">
        <v>69</v>
      </c>
      <c r="G38" s="10">
        <v>1089607</v>
      </c>
      <c r="H38" s="10" t="s">
        <v>966</v>
      </c>
      <c r="I38" s="10" t="s">
        <v>64</v>
      </c>
      <c r="J38" s="10" t="s">
        <v>129</v>
      </c>
      <c r="K38" s="29">
        <v>4000</v>
      </c>
    </row>
    <row r="39" spans="1:11" s="10" customFormat="1" x14ac:dyDescent="0.3">
      <c r="A39" s="10" t="s">
        <v>0</v>
      </c>
      <c r="B39" s="10" t="s">
        <v>127</v>
      </c>
      <c r="G39" s="10">
        <v>1089597</v>
      </c>
      <c r="H39" s="10" t="s">
        <v>967</v>
      </c>
      <c r="I39" s="10" t="s">
        <v>60</v>
      </c>
      <c r="J39" s="10" t="s">
        <v>129</v>
      </c>
      <c r="K39" s="29">
        <v>4000</v>
      </c>
    </row>
    <row r="40" spans="1:11" s="10" customFormat="1" x14ac:dyDescent="0.3">
      <c r="A40" s="10" t="s">
        <v>0</v>
      </c>
      <c r="B40" s="10" t="s">
        <v>968</v>
      </c>
      <c r="G40" s="10">
        <v>1089590</v>
      </c>
      <c r="H40" s="10" t="s">
        <v>969</v>
      </c>
      <c r="I40" s="10" t="s">
        <v>160</v>
      </c>
      <c r="J40" s="10" t="s">
        <v>129</v>
      </c>
      <c r="K40" s="29">
        <v>4000</v>
      </c>
    </row>
    <row r="41" spans="1:11" s="10" customFormat="1" x14ac:dyDescent="0.3">
      <c r="A41" s="10" t="s">
        <v>0</v>
      </c>
      <c r="B41" s="10" t="s">
        <v>135</v>
      </c>
      <c r="G41" s="10">
        <v>1089611</v>
      </c>
      <c r="H41" s="10" t="s">
        <v>970</v>
      </c>
      <c r="I41" s="10" t="s">
        <v>26</v>
      </c>
      <c r="J41" s="10" t="s">
        <v>141</v>
      </c>
      <c r="K41" s="29">
        <v>5000</v>
      </c>
    </row>
    <row r="42" spans="1:11" s="10" customFormat="1" x14ac:dyDescent="0.3">
      <c r="A42" s="10" t="s">
        <v>0</v>
      </c>
      <c r="B42" s="10" t="s">
        <v>135</v>
      </c>
      <c r="G42" s="10">
        <v>1089588</v>
      </c>
      <c r="H42" s="10" t="s">
        <v>971</v>
      </c>
      <c r="I42" s="10" t="s">
        <v>26</v>
      </c>
      <c r="J42" s="10" t="s">
        <v>141</v>
      </c>
      <c r="K42" s="29">
        <v>5000</v>
      </c>
    </row>
    <row r="43" spans="1:11" s="10" customFormat="1" x14ac:dyDescent="0.3">
      <c r="A43" s="10" t="s">
        <v>0</v>
      </c>
      <c r="B43" s="10" t="s">
        <v>135</v>
      </c>
      <c r="G43" s="10">
        <v>1089588</v>
      </c>
      <c r="H43" s="10" t="s">
        <v>971</v>
      </c>
      <c r="I43" s="10" t="s">
        <v>26</v>
      </c>
      <c r="J43" s="10" t="s">
        <v>555</v>
      </c>
      <c r="K43" s="29">
        <v>2500</v>
      </c>
    </row>
    <row r="44" spans="1:11" s="10" customFormat="1" x14ac:dyDescent="0.3">
      <c r="A44" s="10" t="s">
        <v>0</v>
      </c>
      <c r="B44" s="10" t="s">
        <v>530</v>
      </c>
      <c r="G44" s="10">
        <v>1089616</v>
      </c>
      <c r="H44" s="10" t="s">
        <v>972</v>
      </c>
      <c r="I44" s="10" t="s">
        <v>26</v>
      </c>
      <c r="J44" s="10" t="s">
        <v>142</v>
      </c>
      <c r="K44" s="29">
        <v>2000</v>
      </c>
    </row>
    <row r="45" spans="1:11" s="10" customFormat="1" x14ac:dyDescent="0.3">
      <c r="A45" s="10" t="s">
        <v>0</v>
      </c>
      <c r="B45" s="10" t="s">
        <v>973</v>
      </c>
      <c r="G45" s="10">
        <v>1089623</v>
      </c>
      <c r="H45" s="10" t="s">
        <v>974</v>
      </c>
      <c r="I45" s="10" t="s">
        <v>26</v>
      </c>
      <c r="J45" s="10" t="s">
        <v>142</v>
      </c>
      <c r="K45" s="29">
        <v>2000</v>
      </c>
    </row>
    <row r="46" spans="1:11" s="10" customFormat="1" x14ac:dyDescent="0.3">
      <c r="A46" s="10" t="s">
        <v>0</v>
      </c>
      <c r="B46" s="10" t="s">
        <v>510</v>
      </c>
      <c r="G46" s="10">
        <v>1089601</v>
      </c>
      <c r="H46" s="10" t="s">
        <v>975</v>
      </c>
      <c r="I46" s="10" t="s">
        <v>26</v>
      </c>
      <c r="J46" s="10" t="s">
        <v>226</v>
      </c>
      <c r="K46" s="29">
        <v>2500</v>
      </c>
    </row>
    <row r="47" spans="1:11" s="10" customFormat="1" x14ac:dyDescent="0.3">
      <c r="A47" s="10" t="s">
        <v>0</v>
      </c>
      <c r="B47" s="10" t="s">
        <v>807</v>
      </c>
      <c r="G47" s="10">
        <v>1089567</v>
      </c>
      <c r="H47" s="10" t="s">
        <v>976</v>
      </c>
      <c r="I47" s="10" t="s">
        <v>26</v>
      </c>
      <c r="J47" s="10" t="s">
        <v>184</v>
      </c>
      <c r="K47" s="29">
        <v>2500</v>
      </c>
    </row>
    <row r="48" spans="1:11" s="10" customFormat="1" x14ac:dyDescent="0.3">
      <c r="A48" s="10" t="s">
        <v>0</v>
      </c>
      <c r="B48" s="10" t="s">
        <v>135</v>
      </c>
      <c r="G48" s="10">
        <v>1089591</v>
      </c>
      <c r="H48" s="10" t="s">
        <v>977</v>
      </c>
      <c r="I48" s="10" t="s">
        <v>34</v>
      </c>
      <c r="J48" s="10" t="s">
        <v>231</v>
      </c>
      <c r="K48" s="29">
        <v>2500</v>
      </c>
    </row>
    <row r="49" spans="1:11" s="10" customFormat="1" x14ac:dyDescent="0.3">
      <c r="A49" s="10" t="s">
        <v>0</v>
      </c>
      <c r="B49" s="10" t="s">
        <v>135</v>
      </c>
      <c r="G49" s="10">
        <v>1089613</v>
      </c>
      <c r="H49" s="10" t="s">
        <v>978</v>
      </c>
      <c r="I49" s="10" t="s">
        <v>26</v>
      </c>
      <c r="J49" s="10" t="s">
        <v>231</v>
      </c>
      <c r="K49" s="29">
        <v>2500</v>
      </c>
    </row>
    <row r="50" spans="1:11" s="10" customFormat="1" x14ac:dyDescent="0.3">
      <c r="A50" s="10" t="s">
        <v>0</v>
      </c>
      <c r="B50" s="10" t="s">
        <v>135</v>
      </c>
      <c r="G50" s="10">
        <v>1089611</v>
      </c>
      <c r="H50" s="10" t="s">
        <v>970</v>
      </c>
      <c r="I50" s="10" t="s">
        <v>26</v>
      </c>
      <c r="J50" s="10" t="s">
        <v>231</v>
      </c>
      <c r="K50" s="29">
        <v>2500</v>
      </c>
    </row>
    <row r="51" spans="1:11" s="10" customFormat="1" x14ac:dyDescent="0.3">
      <c r="A51" s="10" t="s">
        <v>0</v>
      </c>
      <c r="B51" s="10" t="s">
        <v>135</v>
      </c>
      <c r="G51" s="10">
        <v>1089588</v>
      </c>
      <c r="H51" s="10" t="s">
        <v>971</v>
      </c>
      <c r="I51" s="10" t="s">
        <v>26</v>
      </c>
      <c r="J51" s="10" t="s">
        <v>231</v>
      </c>
      <c r="K51" s="29">
        <v>2500</v>
      </c>
    </row>
    <row r="52" spans="1:11" s="10" customFormat="1" x14ac:dyDescent="0.3">
      <c r="A52" s="10" t="s">
        <v>0</v>
      </c>
      <c r="B52" s="10" t="s">
        <v>135</v>
      </c>
      <c r="G52" s="10">
        <v>1089615</v>
      </c>
      <c r="H52" s="10" t="s">
        <v>979</v>
      </c>
      <c r="I52" s="10" t="s">
        <v>26</v>
      </c>
      <c r="J52" s="10" t="s">
        <v>231</v>
      </c>
      <c r="K52" s="29">
        <v>2500</v>
      </c>
    </row>
    <row r="53" spans="1:11" s="10" customFormat="1" x14ac:dyDescent="0.3">
      <c r="A53" s="10" t="s">
        <v>0</v>
      </c>
      <c r="B53" s="10" t="s">
        <v>135</v>
      </c>
      <c r="G53" s="10">
        <v>1089613</v>
      </c>
      <c r="H53" s="10" t="s">
        <v>978</v>
      </c>
      <c r="I53" s="10" t="s">
        <v>26</v>
      </c>
      <c r="J53" s="10" t="s">
        <v>233</v>
      </c>
      <c r="K53" s="29">
        <v>2500</v>
      </c>
    </row>
    <row r="54" spans="1:11" s="10" customFormat="1" x14ac:dyDescent="0.3">
      <c r="A54" s="10" t="s">
        <v>0</v>
      </c>
      <c r="B54" s="10" t="s">
        <v>375</v>
      </c>
      <c r="G54" s="10">
        <v>1089558</v>
      </c>
      <c r="H54" s="10" t="s">
        <v>980</v>
      </c>
      <c r="I54" s="10" t="s">
        <v>26</v>
      </c>
      <c r="J54" s="10" t="s">
        <v>563</v>
      </c>
      <c r="K54" s="29">
        <v>2000</v>
      </c>
    </row>
    <row r="55" spans="1:11" s="23" customFormat="1" x14ac:dyDescent="0.3">
      <c r="A55" s="23" t="s">
        <v>9</v>
      </c>
      <c r="B55" s="23" t="s">
        <v>981</v>
      </c>
      <c r="G55" s="23">
        <v>1089566</v>
      </c>
      <c r="H55" s="23" t="s">
        <v>982</v>
      </c>
      <c r="I55" s="23" t="s">
        <v>26</v>
      </c>
      <c r="J55" s="23" t="s">
        <v>719</v>
      </c>
      <c r="K55" s="30">
        <v>15000</v>
      </c>
    </row>
    <row r="56" spans="1:11" s="23" customFormat="1" x14ac:dyDescent="0.3">
      <c r="A56" s="23" t="s">
        <v>9</v>
      </c>
      <c r="B56" s="23" t="s">
        <v>722</v>
      </c>
      <c r="G56" s="23">
        <v>1089574</v>
      </c>
      <c r="H56" s="23" t="s">
        <v>983</v>
      </c>
      <c r="I56" s="23" t="s">
        <v>34</v>
      </c>
      <c r="J56" s="23" t="s">
        <v>65</v>
      </c>
      <c r="K56" s="30">
        <v>8000</v>
      </c>
    </row>
    <row r="57" spans="1:11" s="23" customFormat="1" x14ac:dyDescent="0.3">
      <c r="A57" s="23" t="s">
        <v>9</v>
      </c>
      <c r="B57" s="23" t="s">
        <v>984</v>
      </c>
      <c r="G57" s="23">
        <v>1089582</v>
      </c>
      <c r="H57" s="23" t="s">
        <v>985</v>
      </c>
      <c r="I57" s="23" t="s">
        <v>411</v>
      </c>
      <c r="J57" s="23" t="s">
        <v>65</v>
      </c>
      <c r="K57" s="30">
        <v>8000</v>
      </c>
    </row>
    <row r="58" spans="1:11" s="23" customFormat="1" x14ac:dyDescent="0.3">
      <c r="A58" s="23" t="s">
        <v>9</v>
      </c>
      <c r="B58" s="23" t="s">
        <v>182</v>
      </c>
      <c r="G58" s="23">
        <v>1089594</v>
      </c>
      <c r="H58" s="23" t="s">
        <v>986</v>
      </c>
      <c r="I58" s="23" t="s">
        <v>26</v>
      </c>
      <c r="J58" s="23" t="s">
        <v>65</v>
      </c>
      <c r="K58" s="30">
        <v>12000</v>
      </c>
    </row>
    <row r="59" spans="1:11" s="23" customFormat="1" x14ac:dyDescent="0.3">
      <c r="A59" s="23" t="s">
        <v>9</v>
      </c>
      <c r="B59" s="23" t="s">
        <v>987</v>
      </c>
      <c r="G59" s="23">
        <v>1089584</v>
      </c>
      <c r="H59" s="23" t="s">
        <v>988</v>
      </c>
      <c r="I59" s="23" t="s">
        <v>64</v>
      </c>
      <c r="J59" s="23" t="s">
        <v>621</v>
      </c>
      <c r="K59" s="30">
        <v>18000</v>
      </c>
    </row>
    <row r="60" spans="1:11" s="23" customFormat="1" x14ac:dyDescent="0.3">
      <c r="A60" s="23" t="s">
        <v>9</v>
      </c>
      <c r="B60" s="23" t="s">
        <v>989</v>
      </c>
      <c r="G60" s="23">
        <v>1089612</v>
      </c>
      <c r="H60" s="23" t="s">
        <v>990</v>
      </c>
      <c r="I60" s="23" t="s">
        <v>57</v>
      </c>
      <c r="J60" s="23" t="s">
        <v>516</v>
      </c>
      <c r="K60" s="30">
        <v>30000</v>
      </c>
    </row>
    <row r="61" spans="1:11" s="23" customFormat="1" x14ac:dyDescent="0.3">
      <c r="A61" s="23" t="s">
        <v>9</v>
      </c>
      <c r="B61" s="23" t="s">
        <v>991</v>
      </c>
      <c r="G61" s="23">
        <v>1089625</v>
      </c>
      <c r="H61" s="23" t="s">
        <v>992</v>
      </c>
      <c r="I61" s="23" t="s">
        <v>34</v>
      </c>
      <c r="J61" s="23" t="s">
        <v>39</v>
      </c>
      <c r="K61" s="30">
        <v>18000</v>
      </c>
    </row>
    <row r="62" spans="1:11" s="23" customFormat="1" x14ac:dyDescent="0.3">
      <c r="A62" s="23" t="s">
        <v>9</v>
      </c>
      <c r="B62" s="23" t="s">
        <v>993</v>
      </c>
      <c r="G62" s="23">
        <v>1089571</v>
      </c>
      <c r="H62" s="23" t="s">
        <v>994</v>
      </c>
      <c r="I62" s="23" t="s">
        <v>26</v>
      </c>
      <c r="J62" s="23" t="s">
        <v>84</v>
      </c>
      <c r="K62" s="30">
        <v>20000</v>
      </c>
    </row>
    <row r="63" spans="1:11" s="23" customFormat="1" x14ac:dyDescent="0.3">
      <c r="A63" s="23" t="s">
        <v>9</v>
      </c>
      <c r="B63" s="23" t="s">
        <v>995</v>
      </c>
      <c r="G63" s="23">
        <v>1089593</v>
      </c>
      <c r="H63" s="23" t="s">
        <v>996</v>
      </c>
      <c r="I63" s="23" t="s">
        <v>64</v>
      </c>
      <c r="J63" s="23" t="s">
        <v>84</v>
      </c>
      <c r="K63" s="30">
        <v>18000</v>
      </c>
    </row>
    <row r="64" spans="1:11" s="23" customFormat="1" x14ac:dyDescent="0.3">
      <c r="A64" s="23" t="s">
        <v>9</v>
      </c>
      <c r="B64" s="23" t="s">
        <v>580</v>
      </c>
      <c r="G64" s="23">
        <v>1089620</v>
      </c>
      <c r="H64" s="23" t="s">
        <v>997</v>
      </c>
      <c r="I64" s="23" t="s">
        <v>160</v>
      </c>
      <c r="J64" s="23" t="s">
        <v>84</v>
      </c>
      <c r="K64" s="30">
        <v>18000</v>
      </c>
    </row>
    <row r="65" spans="1:11" s="23" customFormat="1" x14ac:dyDescent="0.3">
      <c r="A65" s="23" t="s">
        <v>9</v>
      </c>
      <c r="B65" s="23" t="s">
        <v>998</v>
      </c>
      <c r="G65" s="23">
        <v>1089600</v>
      </c>
      <c r="H65" s="23" t="s">
        <v>999</v>
      </c>
      <c r="I65" s="23" t="s">
        <v>26</v>
      </c>
      <c r="J65" s="23" t="s">
        <v>84</v>
      </c>
      <c r="K65" s="30">
        <v>20000</v>
      </c>
    </row>
    <row r="66" spans="1:11" s="23" customFormat="1" x14ac:dyDescent="0.3">
      <c r="A66" s="23" t="s">
        <v>9</v>
      </c>
      <c r="B66" s="23" t="s">
        <v>987</v>
      </c>
      <c r="G66" s="23">
        <v>1089584</v>
      </c>
      <c r="H66" s="23" t="s">
        <v>988</v>
      </c>
      <c r="I66" s="23" t="s">
        <v>64</v>
      </c>
      <c r="J66" s="23" t="s">
        <v>45</v>
      </c>
      <c r="K66" s="30">
        <v>18000</v>
      </c>
    </row>
    <row r="67" spans="1:11" s="23" customFormat="1" x14ac:dyDescent="0.3">
      <c r="A67" s="23" t="s">
        <v>9</v>
      </c>
      <c r="B67" s="23" t="s">
        <v>422</v>
      </c>
      <c r="G67" s="23">
        <v>1089550</v>
      </c>
      <c r="H67" s="23" t="s">
        <v>1000</v>
      </c>
      <c r="I67" s="23" t="s">
        <v>26</v>
      </c>
      <c r="J67" s="23" t="s">
        <v>104</v>
      </c>
      <c r="K67" s="30">
        <v>3000</v>
      </c>
    </row>
    <row r="68" spans="1:11" s="23" customFormat="1" x14ac:dyDescent="0.3">
      <c r="A68" s="23" t="s">
        <v>9</v>
      </c>
      <c r="B68" s="23" t="s">
        <v>1001</v>
      </c>
      <c r="G68" s="23">
        <v>1089548</v>
      </c>
      <c r="H68" s="23" t="s">
        <v>1002</v>
      </c>
      <c r="I68" s="23" t="s">
        <v>26</v>
      </c>
      <c r="J68" s="23" t="s">
        <v>110</v>
      </c>
      <c r="K68" s="30">
        <v>6000</v>
      </c>
    </row>
    <row r="69" spans="1:11" s="23" customFormat="1" x14ac:dyDescent="0.3">
      <c r="A69" s="23" t="s">
        <v>9</v>
      </c>
      <c r="B69" s="23" t="s">
        <v>1003</v>
      </c>
      <c r="G69" s="23">
        <v>1089555</v>
      </c>
      <c r="H69" s="23" t="s">
        <v>1004</v>
      </c>
      <c r="I69" s="23" t="s">
        <v>26</v>
      </c>
      <c r="J69" s="23" t="s">
        <v>337</v>
      </c>
      <c r="K69" s="30">
        <v>4000</v>
      </c>
    </row>
    <row r="70" spans="1:11" s="23" customFormat="1" x14ac:dyDescent="0.3">
      <c r="A70" s="23" t="s">
        <v>9</v>
      </c>
      <c r="B70" s="23" t="s">
        <v>174</v>
      </c>
      <c r="G70" s="23">
        <v>1089562</v>
      </c>
      <c r="H70" s="23" t="s">
        <v>1005</v>
      </c>
      <c r="I70" s="23" t="s">
        <v>26</v>
      </c>
      <c r="J70" s="23" t="s">
        <v>116</v>
      </c>
      <c r="K70" s="30">
        <v>5000</v>
      </c>
    </row>
    <row r="71" spans="1:11" s="23" customFormat="1" x14ac:dyDescent="0.3">
      <c r="A71" s="23" t="s">
        <v>9</v>
      </c>
      <c r="B71" s="23" t="s">
        <v>174</v>
      </c>
      <c r="G71" s="23">
        <v>1089596</v>
      </c>
      <c r="H71" s="23" t="s">
        <v>1006</v>
      </c>
      <c r="I71" s="23" t="s">
        <v>26</v>
      </c>
      <c r="J71" s="23" t="s">
        <v>116</v>
      </c>
      <c r="K71" s="30">
        <v>5000</v>
      </c>
    </row>
    <row r="72" spans="1:11" s="23" customFormat="1" x14ac:dyDescent="0.3">
      <c r="A72" s="23" t="s">
        <v>9</v>
      </c>
      <c r="B72" s="23" t="s">
        <v>1007</v>
      </c>
      <c r="G72" s="23">
        <v>1089542</v>
      </c>
      <c r="H72" s="23" t="s">
        <v>1008</v>
      </c>
      <c r="I72" s="23" t="s">
        <v>26</v>
      </c>
      <c r="J72" s="23" t="s">
        <v>124</v>
      </c>
      <c r="K72" s="30">
        <v>3000</v>
      </c>
    </row>
    <row r="73" spans="1:11" s="23" customFormat="1" x14ac:dyDescent="0.3">
      <c r="A73" s="23" t="s">
        <v>9</v>
      </c>
      <c r="B73" s="23" t="s">
        <v>1009</v>
      </c>
      <c r="G73" s="23">
        <v>1089580</v>
      </c>
      <c r="H73" s="23" t="s">
        <v>1010</v>
      </c>
      <c r="I73" s="23" t="s">
        <v>26</v>
      </c>
      <c r="J73" s="23" t="s">
        <v>124</v>
      </c>
      <c r="K73" s="30">
        <v>3000</v>
      </c>
    </row>
    <row r="74" spans="1:11" s="23" customFormat="1" x14ac:dyDescent="0.3">
      <c r="A74" s="23" t="s">
        <v>9</v>
      </c>
      <c r="B74" s="23" t="s">
        <v>169</v>
      </c>
      <c r="G74" s="23">
        <v>1089557</v>
      </c>
      <c r="H74" s="23" t="s">
        <v>1011</v>
      </c>
      <c r="I74" s="23" t="s">
        <v>160</v>
      </c>
      <c r="J74" s="23" t="s">
        <v>550</v>
      </c>
      <c r="K74" s="30">
        <v>4000</v>
      </c>
    </row>
    <row r="75" spans="1:11" x14ac:dyDescent="0.3">
      <c r="A75" s="23" t="s">
        <v>9</v>
      </c>
      <c r="B75" s="23" t="s">
        <v>174</v>
      </c>
      <c r="C75" s="23"/>
      <c r="D75" s="23"/>
      <c r="E75" s="23"/>
      <c r="F75" s="23"/>
      <c r="G75" s="23">
        <v>1089587</v>
      </c>
      <c r="H75" s="23" t="s">
        <v>1012</v>
      </c>
      <c r="I75" s="23" t="s">
        <v>26</v>
      </c>
      <c r="J75" s="23" t="s">
        <v>292</v>
      </c>
      <c r="K75" s="30">
        <v>3000</v>
      </c>
    </row>
    <row r="76" spans="1:11" x14ac:dyDescent="0.3">
      <c r="A76" s="23" t="s">
        <v>9</v>
      </c>
      <c r="B76" s="23" t="s">
        <v>622</v>
      </c>
      <c r="C76" s="23"/>
      <c r="D76" s="23"/>
      <c r="E76" s="23"/>
      <c r="F76" s="23"/>
      <c r="G76" s="23">
        <v>1089573</v>
      </c>
      <c r="H76" s="23" t="s">
        <v>1013</v>
      </c>
      <c r="I76" s="23" t="s">
        <v>26</v>
      </c>
      <c r="J76" s="23" t="s">
        <v>211</v>
      </c>
      <c r="K76" s="30">
        <v>2500</v>
      </c>
    </row>
    <row r="77" spans="1:11" x14ac:dyDescent="0.3">
      <c r="A77" t="s">
        <v>185</v>
      </c>
      <c r="B77" t="s">
        <v>899</v>
      </c>
      <c r="G77">
        <v>1089599</v>
      </c>
      <c r="H77" t="s">
        <v>1014</v>
      </c>
      <c r="I77" t="s">
        <v>26</v>
      </c>
      <c r="J77" t="s">
        <v>84</v>
      </c>
      <c r="K77" s="31">
        <v>20000</v>
      </c>
    </row>
    <row r="78" spans="1:11" x14ac:dyDescent="0.3">
      <c r="A78" s="44" t="s">
        <v>185</v>
      </c>
      <c r="B78" s="44" t="s">
        <v>344</v>
      </c>
      <c r="C78" s="44"/>
      <c r="D78" s="44"/>
      <c r="E78" s="44"/>
      <c r="F78" s="44"/>
      <c r="G78" s="44">
        <v>1089553</v>
      </c>
      <c r="H78" s="44" t="s">
        <v>1015</v>
      </c>
      <c r="I78" s="44" t="s">
        <v>26</v>
      </c>
      <c r="J78" s="44" t="s">
        <v>45</v>
      </c>
      <c r="K78" s="48">
        <v>25000</v>
      </c>
    </row>
    <row r="79" spans="1:11" x14ac:dyDescent="0.3">
      <c r="A79" t="s">
        <v>185</v>
      </c>
      <c r="B79" t="s">
        <v>610</v>
      </c>
      <c r="G79">
        <v>1089581</v>
      </c>
      <c r="H79" t="s">
        <v>1016</v>
      </c>
      <c r="I79" t="s">
        <v>26</v>
      </c>
      <c r="J79" t="s">
        <v>195</v>
      </c>
      <c r="K79" s="31">
        <v>20000</v>
      </c>
    </row>
    <row r="80" spans="1:11" x14ac:dyDescent="0.3">
      <c r="A80" t="s">
        <v>185</v>
      </c>
      <c r="B80" t="s">
        <v>208</v>
      </c>
      <c r="G80">
        <v>1089610</v>
      </c>
      <c r="H80" t="s">
        <v>1017</v>
      </c>
      <c r="I80" t="s">
        <v>26</v>
      </c>
      <c r="J80" t="s">
        <v>195</v>
      </c>
      <c r="K80" s="31">
        <v>20000</v>
      </c>
    </row>
    <row r="81" spans="1:11" x14ac:dyDescent="0.3">
      <c r="A81" t="s">
        <v>746</v>
      </c>
      <c r="B81" t="s">
        <v>1018</v>
      </c>
      <c r="G81">
        <v>1089546</v>
      </c>
      <c r="H81" t="s">
        <v>1019</v>
      </c>
      <c r="I81" t="s">
        <v>26</v>
      </c>
      <c r="J81" t="s">
        <v>116</v>
      </c>
      <c r="K81" s="31">
        <v>5000</v>
      </c>
    </row>
    <row r="82" spans="1:11" x14ac:dyDescent="0.3">
      <c r="A82" t="s">
        <v>185</v>
      </c>
      <c r="B82" t="s">
        <v>205</v>
      </c>
      <c r="G82">
        <v>1089575</v>
      </c>
      <c r="H82" t="s">
        <v>1020</v>
      </c>
      <c r="I82" t="s">
        <v>26</v>
      </c>
      <c r="J82" t="s">
        <v>124</v>
      </c>
      <c r="K82" s="31">
        <v>3000</v>
      </c>
    </row>
    <row r="83" spans="1:11" x14ac:dyDescent="0.3">
      <c r="A83" t="s">
        <v>185</v>
      </c>
      <c r="B83" t="s">
        <v>899</v>
      </c>
      <c r="G83">
        <v>1089568</v>
      </c>
      <c r="H83" t="s">
        <v>1021</v>
      </c>
      <c r="I83" t="s">
        <v>26</v>
      </c>
      <c r="J83" t="s">
        <v>373</v>
      </c>
      <c r="K83" s="31">
        <v>5000</v>
      </c>
    </row>
    <row r="84" spans="1:11" x14ac:dyDescent="0.3">
      <c r="A84" t="s">
        <v>185</v>
      </c>
      <c r="B84" t="s">
        <v>899</v>
      </c>
      <c r="G84">
        <v>1089568</v>
      </c>
      <c r="H84" t="s">
        <v>1021</v>
      </c>
      <c r="I84" t="s">
        <v>26</v>
      </c>
      <c r="J84" t="s">
        <v>141</v>
      </c>
      <c r="K84" s="31">
        <v>5000</v>
      </c>
    </row>
    <row r="85" spans="1:11" x14ac:dyDescent="0.3">
      <c r="A85" t="s">
        <v>185</v>
      </c>
      <c r="B85" t="s">
        <v>610</v>
      </c>
      <c r="G85">
        <v>1089581</v>
      </c>
      <c r="H85" t="s">
        <v>1016</v>
      </c>
      <c r="I85" t="s">
        <v>26</v>
      </c>
      <c r="J85" t="s">
        <v>555</v>
      </c>
      <c r="K85" s="31">
        <v>2500</v>
      </c>
    </row>
    <row r="86" spans="1:11" x14ac:dyDescent="0.3">
      <c r="A86" t="s">
        <v>185</v>
      </c>
      <c r="B86" t="s">
        <v>610</v>
      </c>
      <c r="G86">
        <v>1089578</v>
      </c>
      <c r="H86" t="s">
        <v>1022</v>
      </c>
      <c r="I86" t="s">
        <v>210</v>
      </c>
      <c r="J86" t="s">
        <v>555</v>
      </c>
      <c r="K86" s="31">
        <v>2500</v>
      </c>
    </row>
    <row r="87" spans="1:11" x14ac:dyDescent="0.3">
      <c r="A87" t="s">
        <v>185</v>
      </c>
      <c r="B87" t="s">
        <v>189</v>
      </c>
      <c r="G87">
        <v>1089604</v>
      </c>
      <c r="H87" t="s">
        <v>1023</v>
      </c>
      <c r="I87" t="s">
        <v>26</v>
      </c>
      <c r="J87" t="s">
        <v>1024</v>
      </c>
      <c r="K87" s="31">
        <v>2500</v>
      </c>
    </row>
    <row r="88" spans="1:11" x14ac:dyDescent="0.3">
      <c r="A88" t="s">
        <v>185</v>
      </c>
      <c r="B88" t="s">
        <v>186</v>
      </c>
      <c r="G88">
        <v>1089579</v>
      </c>
      <c r="H88" t="s">
        <v>1025</v>
      </c>
      <c r="I88" t="s">
        <v>210</v>
      </c>
      <c r="J88" t="s">
        <v>226</v>
      </c>
      <c r="K88" s="31">
        <v>2000</v>
      </c>
    </row>
    <row r="89" spans="1:11" x14ac:dyDescent="0.3">
      <c r="A89" t="s">
        <v>185</v>
      </c>
      <c r="B89" t="s">
        <v>186</v>
      </c>
      <c r="G89">
        <v>1089572</v>
      </c>
      <c r="H89" t="s">
        <v>1026</v>
      </c>
      <c r="I89" t="s">
        <v>201</v>
      </c>
      <c r="J89" t="s">
        <v>226</v>
      </c>
      <c r="K89" s="31">
        <v>1800</v>
      </c>
    </row>
    <row r="90" spans="1:11" x14ac:dyDescent="0.3">
      <c r="A90" t="s">
        <v>185</v>
      </c>
      <c r="B90" t="s">
        <v>186</v>
      </c>
      <c r="G90">
        <v>1089569</v>
      </c>
      <c r="H90" t="s">
        <v>1027</v>
      </c>
      <c r="I90" t="s">
        <v>201</v>
      </c>
      <c r="J90" t="s">
        <v>226</v>
      </c>
      <c r="K90" s="31">
        <v>1800</v>
      </c>
    </row>
    <row r="91" spans="1:11" x14ac:dyDescent="0.3">
      <c r="A91" t="s">
        <v>185</v>
      </c>
      <c r="B91" t="s">
        <v>612</v>
      </c>
      <c r="G91">
        <v>1089606</v>
      </c>
      <c r="H91" t="s">
        <v>1028</v>
      </c>
      <c r="I91" t="s">
        <v>34</v>
      </c>
      <c r="J91" t="s">
        <v>231</v>
      </c>
      <c r="K91" s="31">
        <v>2500</v>
      </c>
    </row>
    <row r="92" spans="1:11" x14ac:dyDescent="0.3">
      <c r="A92" t="s">
        <v>185</v>
      </c>
      <c r="B92" t="s">
        <v>899</v>
      </c>
      <c r="G92">
        <v>1089568</v>
      </c>
      <c r="H92" t="s">
        <v>1021</v>
      </c>
      <c r="I92" t="s">
        <v>26</v>
      </c>
      <c r="J92" t="s">
        <v>231</v>
      </c>
      <c r="K92" s="31">
        <v>2500</v>
      </c>
    </row>
    <row r="93" spans="1:11" x14ac:dyDescent="0.3">
      <c r="A93" t="s">
        <v>185</v>
      </c>
      <c r="B93" t="s">
        <v>186</v>
      </c>
      <c r="G93">
        <v>1089572</v>
      </c>
      <c r="H93" t="s">
        <v>1026</v>
      </c>
      <c r="I93" t="s">
        <v>201</v>
      </c>
      <c r="J93" t="s">
        <v>231</v>
      </c>
      <c r="K93" s="31">
        <v>2500</v>
      </c>
    </row>
    <row r="94" spans="1:11" x14ac:dyDescent="0.3">
      <c r="A94" t="s">
        <v>185</v>
      </c>
      <c r="B94" t="s">
        <v>186</v>
      </c>
      <c r="G94">
        <v>1089569</v>
      </c>
      <c r="H94" t="s">
        <v>1027</v>
      </c>
      <c r="I94" t="s">
        <v>201</v>
      </c>
      <c r="J94" t="s">
        <v>231</v>
      </c>
      <c r="K94" s="31">
        <v>2500</v>
      </c>
    </row>
    <row r="95" spans="1:11" x14ac:dyDescent="0.3">
      <c r="A95" t="s">
        <v>185</v>
      </c>
      <c r="B95" t="s">
        <v>612</v>
      </c>
      <c r="G95">
        <v>1089606</v>
      </c>
      <c r="H95" t="s">
        <v>1028</v>
      </c>
      <c r="I95" t="s">
        <v>34</v>
      </c>
      <c r="J95" t="s">
        <v>233</v>
      </c>
      <c r="K95" s="31">
        <v>2500</v>
      </c>
    </row>
    <row r="96" spans="1:11" x14ac:dyDescent="0.3">
      <c r="A96" t="s">
        <v>185</v>
      </c>
      <c r="B96" t="s">
        <v>186</v>
      </c>
      <c r="G96">
        <v>1089579</v>
      </c>
      <c r="H96" t="s">
        <v>1025</v>
      </c>
      <c r="I96" t="s">
        <v>210</v>
      </c>
      <c r="J96" t="s">
        <v>233</v>
      </c>
      <c r="K96" s="31">
        <v>2500</v>
      </c>
    </row>
    <row r="97" spans="1:11" x14ac:dyDescent="0.3">
      <c r="A97" t="s">
        <v>185</v>
      </c>
      <c r="B97" t="s">
        <v>612</v>
      </c>
      <c r="G97">
        <v>1089609</v>
      </c>
      <c r="H97" t="s">
        <v>1029</v>
      </c>
      <c r="I97" t="s">
        <v>34</v>
      </c>
      <c r="J97" t="s">
        <v>237</v>
      </c>
      <c r="K97" s="31">
        <v>1800</v>
      </c>
    </row>
    <row r="98" spans="1:11" s="22" customFormat="1" x14ac:dyDescent="0.3">
      <c r="A98" t="s">
        <v>185</v>
      </c>
      <c r="B98" t="s">
        <v>612</v>
      </c>
      <c r="C98"/>
      <c r="D98"/>
      <c r="E98"/>
      <c r="F98"/>
      <c r="G98">
        <v>1089606</v>
      </c>
      <c r="H98" t="s">
        <v>1028</v>
      </c>
      <c r="I98" t="s">
        <v>34</v>
      </c>
      <c r="J98" t="s">
        <v>561</v>
      </c>
      <c r="K98" s="31">
        <v>2500</v>
      </c>
    </row>
    <row r="99" spans="1:11" s="44" customFormat="1" x14ac:dyDescent="0.3">
      <c r="A99" t="s">
        <v>185</v>
      </c>
      <c r="B99" t="s">
        <v>610</v>
      </c>
      <c r="C99"/>
      <c r="D99"/>
      <c r="E99"/>
      <c r="F99"/>
      <c r="G99">
        <v>1089586</v>
      </c>
      <c r="H99" t="s">
        <v>1030</v>
      </c>
      <c r="I99" t="s">
        <v>210</v>
      </c>
      <c r="J99" t="s">
        <v>563</v>
      </c>
      <c r="K99" s="31">
        <v>2000</v>
      </c>
    </row>
    <row r="100" spans="1:11" s="22" customFormat="1" x14ac:dyDescent="0.3">
      <c r="A100" t="s">
        <v>185</v>
      </c>
      <c r="B100" t="s">
        <v>186</v>
      </c>
      <c r="C100"/>
      <c r="D100"/>
      <c r="E100"/>
      <c r="F100"/>
      <c r="G100">
        <v>1089572</v>
      </c>
      <c r="H100" t="s">
        <v>1026</v>
      </c>
      <c r="I100" t="s">
        <v>201</v>
      </c>
      <c r="J100" t="s">
        <v>563</v>
      </c>
      <c r="K100" s="31">
        <v>1800</v>
      </c>
    </row>
    <row r="101" spans="1:11" s="22" customFormat="1" x14ac:dyDescent="0.3">
      <c r="A101" s="44"/>
      <c r="B101" s="44" t="s">
        <v>1031</v>
      </c>
      <c r="C101" s="44"/>
      <c r="D101" s="44"/>
      <c r="E101" s="44"/>
      <c r="F101" s="44"/>
      <c r="G101" s="44">
        <v>1089560</v>
      </c>
      <c r="H101" s="44" t="s">
        <v>1032</v>
      </c>
      <c r="I101" s="44" t="s">
        <v>26</v>
      </c>
      <c r="J101" s="44" t="s">
        <v>74</v>
      </c>
      <c r="K101" s="48">
        <v>20000</v>
      </c>
    </row>
    <row r="102" spans="1:11" s="22" customFormat="1" x14ac:dyDescent="0.3">
      <c r="A102" s="44"/>
      <c r="B102" s="44" t="s">
        <v>1033</v>
      </c>
      <c r="C102" s="44"/>
      <c r="D102" s="44"/>
      <c r="E102" s="44"/>
      <c r="F102" s="44"/>
      <c r="G102" s="44">
        <v>1089585</v>
      </c>
      <c r="H102" s="44" t="s">
        <v>1034</v>
      </c>
      <c r="I102" s="44" t="s">
        <v>26</v>
      </c>
      <c r="J102" s="44" t="s">
        <v>150</v>
      </c>
      <c r="K102" s="48">
        <v>2500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26" workbookViewId="0">
      <selection activeCell="C6" sqref="C6"/>
    </sheetView>
  </sheetViews>
  <sheetFormatPr defaultRowHeight="14.4" x14ac:dyDescent="0.3"/>
  <cols>
    <col min="1" max="1" width="10" customWidth="1"/>
    <col min="2" max="2" width="25.21875" customWidth="1"/>
    <col min="8" max="8" width="24.5546875" customWidth="1"/>
    <col min="9" max="9" width="18.6640625" customWidth="1"/>
    <col min="10" max="10" width="31.44140625" customWidth="1"/>
    <col min="11" max="11" width="11.33203125" customWidth="1"/>
  </cols>
  <sheetData>
    <row r="1" spans="1:11" s="46" customFormat="1" x14ac:dyDescent="0.3">
      <c r="A1" s="1" t="s">
        <v>13</v>
      </c>
      <c r="B1" s="1" t="s">
        <v>14</v>
      </c>
      <c r="C1" s="1" t="s">
        <v>15</v>
      </c>
      <c r="D1" s="3" t="s">
        <v>16</v>
      </c>
      <c r="E1" s="3" t="s">
        <v>17</v>
      </c>
      <c r="F1" s="3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s="18" customFormat="1" x14ac:dyDescent="0.3">
      <c r="A2" s="18" t="s">
        <v>11</v>
      </c>
      <c r="B2" s="18" t="s">
        <v>922</v>
      </c>
      <c r="G2" s="18">
        <v>1089666</v>
      </c>
      <c r="H2" s="18" t="s">
        <v>1035</v>
      </c>
      <c r="I2" s="18" t="s">
        <v>64</v>
      </c>
      <c r="J2" s="18" t="s">
        <v>45</v>
      </c>
      <c r="K2" s="27">
        <v>18000</v>
      </c>
    </row>
    <row r="3" spans="1:11" s="49" customFormat="1" x14ac:dyDescent="0.3">
      <c r="A3" s="49" t="s">
        <v>11</v>
      </c>
      <c r="B3" s="49" t="s">
        <v>1036</v>
      </c>
      <c r="G3" s="49">
        <v>1089667</v>
      </c>
      <c r="H3" s="49" t="s">
        <v>1037</v>
      </c>
      <c r="I3" s="49" t="s">
        <v>26</v>
      </c>
      <c r="J3" s="49" t="s">
        <v>45</v>
      </c>
      <c r="K3" s="50">
        <v>25000</v>
      </c>
    </row>
    <row r="4" spans="1:11" s="49" customFormat="1" x14ac:dyDescent="0.3">
      <c r="A4" s="49" t="s">
        <v>11</v>
      </c>
      <c r="B4" s="49" t="s">
        <v>1038</v>
      </c>
      <c r="G4" s="49">
        <v>1089645</v>
      </c>
      <c r="H4" s="49" t="s">
        <v>1039</v>
      </c>
      <c r="I4" s="49" t="s">
        <v>26</v>
      </c>
      <c r="J4" s="49" t="s">
        <v>45</v>
      </c>
      <c r="K4" s="50">
        <v>25000</v>
      </c>
    </row>
    <row r="5" spans="1:11" s="10" customFormat="1" x14ac:dyDescent="0.3">
      <c r="A5" s="10" t="s">
        <v>0</v>
      </c>
      <c r="B5" s="10" t="s">
        <v>1040</v>
      </c>
      <c r="G5" s="10">
        <v>1089635</v>
      </c>
      <c r="H5" s="10" t="s">
        <v>1041</v>
      </c>
      <c r="I5" s="10" t="s">
        <v>198</v>
      </c>
      <c r="J5" s="10" t="s">
        <v>465</v>
      </c>
      <c r="K5" s="29">
        <v>13000</v>
      </c>
    </row>
    <row r="6" spans="1:11" s="10" customFormat="1" x14ac:dyDescent="0.3">
      <c r="A6" s="10" t="s">
        <v>0</v>
      </c>
      <c r="B6" s="10" t="s">
        <v>1042</v>
      </c>
      <c r="G6" s="10">
        <v>1089673</v>
      </c>
      <c r="H6" s="10" t="s">
        <v>1043</v>
      </c>
      <c r="I6" s="10" t="s">
        <v>26</v>
      </c>
      <c r="J6" s="10" t="s">
        <v>465</v>
      </c>
      <c r="K6" s="29">
        <v>14000</v>
      </c>
    </row>
    <row r="7" spans="1:11" s="10" customFormat="1" x14ac:dyDescent="0.3">
      <c r="A7" s="10" t="s">
        <v>0</v>
      </c>
      <c r="B7" s="10" t="s">
        <v>273</v>
      </c>
      <c r="G7" s="10">
        <v>1089631</v>
      </c>
      <c r="H7" s="10" t="s">
        <v>1044</v>
      </c>
      <c r="I7" s="10" t="s">
        <v>34</v>
      </c>
      <c r="J7" s="10" t="s">
        <v>54</v>
      </c>
      <c r="K7" s="29">
        <v>12000</v>
      </c>
    </row>
    <row r="8" spans="1:11" s="10" customFormat="1" x14ac:dyDescent="0.3">
      <c r="A8" s="10" t="s">
        <v>0</v>
      </c>
      <c r="B8" s="10" t="s">
        <v>1045</v>
      </c>
      <c r="G8" s="10">
        <v>1089664</v>
      </c>
      <c r="H8" s="10" t="s">
        <v>1046</v>
      </c>
      <c r="I8" s="10" t="s">
        <v>26</v>
      </c>
      <c r="J8" s="10" t="s">
        <v>65</v>
      </c>
      <c r="K8" s="29">
        <v>12000</v>
      </c>
    </row>
    <row r="9" spans="1:11" s="10" customFormat="1" x14ac:dyDescent="0.3">
      <c r="A9" s="10" t="s">
        <v>0</v>
      </c>
      <c r="B9" s="10" t="s">
        <v>127</v>
      </c>
      <c r="G9" s="10">
        <v>1089646</v>
      </c>
      <c r="H9" s="10" t="s">
        <v>1047</v>
      </c>
      <c r="I9" s="10" t="s">
        <v>26</v>
      </c>
      <c r="J9" s="10" t="s">
        <v>71</v>
      </c>
      <c r="K9" s="29">
        <v>6500</v>
      </c>
    </row>
    <row r="10" spans="1:11" s="10" customFormat="1" x14ac:dyDescent="0.3">
      <c r="A10" s="10" t="s">
        <v>0</v>
      </c>
      <c r="B10" s="10" t="s">
        <v>1048</v>
      </c>
      <c r="G10" s="10">
        <v>1089634</v>
      </c>
      <c r="H10" s="10" t="s">
        <v>1049</v>
      </c>
      <c r="I10" s="10" t="s">
        <v>26</v>
      </c>
      <c r="J10" s="10" t="s">
        <v>71</v>
      </c>
      <c r="K10" s="29">
        <v>6500</v>
      </c>
    </row>
    <row r="11" spans="1:11" s="10" customFormat="1" x14ac:dyDescent="0.3">
      <c r="A11" s="10" t="s">
        <v>0</v>
      </c>
      <c r="B11" s="10" t="s">
        <v>1050</v>
      </c>
      <c r="G11" s="10">
        <v>1089643</v>
      </c>
      <c r="H11" s="10" t="s">
        <v>1051</v>
      </c>
      <c r="I11" s="10" t="s">
        <v>26</v>
      </c>
      <c r="J11" s="10" t="s">
        <v>71</v>
      </c>
      <c r="K11" s="29">
        <v>6500</v>
      </c>
    </row>
    <row r="12" spans="1:11" s="10" customFormat="1" x14ac:dyDescent="0.3">
      <c r="A12" s="10" t="s">
        <v>0</v>
      </c>
      <c r="B12" s="10" t="s">
        <v>367</v>
      </c>
      <c r="G12" s="10">
        <v>1089670</v>
      </c>
      <c r="H12" s="10" t="s">
        <v>1052</v>
      </c>
      <c r="I12" s="10" t="s">
        <v>198</v>
      </c>
      <c r="J12" s="10" t="s">
        <v>39</v>
      </c>
      <c r="K12" s="29">
        <v>24000</v>
      </c>
    </row>
    <row r="13" spans="1:11" s="10" customFormat="1" x14ac:dyDescent="0.3">
      <c r="A13" s="10" t="s">
        <v>0</v>
      </c>
      <c r="B13" s="10" t="s">
        <v>1040</v>
      </c>
      <c r="G13" s="10">
        <v>1089635</v>
      </c>
      <c r="H13" s="10" t="s">
        <v>1041</v>
      </c>
      <c r="I13" s="10" t="s">
        <v>198</v>
      </c>
      <c r="J13" s="10" t="s">
        <v>84</v>
      </c>
      <c r="K13" s="29">
        <v>22000</v>
      </c>
    </row>
    <row r="14" spans="1:11" s="10" customFormat="1" x14ac:dyDescent="0.3">
      <c r="A14" s="10" t="s">
        <v>0</v>
      </c>
      <c r="B14" s="10" t="s">
        <v>1053</v>
      </c>
      <c r="G14" s="10">
        <v>1089628</v>
      </c>
      <c r="H14" s="10" t="s">
        <v>1054</v>
      </c>
      <c r="I14" s="10" t="s">
        <v>26</v>
      </c>
      <c r="J14" s="10" t="s">
        <v>45</v>
      </c>
      <c r="K14" s="29">
        <v>25000</v>
      </c>
    </row>
    <row r="15" spans="1:11" s="10" customFormat="1" x14ac:dyDescent="0.3">
      <c r="A15" s="10" t="s">
        <v>0</v>
      </c>
      <c r="B15" s="10" t="s">
        <v>1055</v>
      </c>
      <c r="G15" s="10">
        <v>1089626</v>
      </c>
      <c r="H15" s="10" t="s">
        <v>1056</v>
      </c>
      <c r="I15" s="10" t="s">
        <v>26</v>
      </c>
      <c r="J15" s="10" t="s">
        <v>45</v>
      </c>
      <c r="K15" s="29">
        <v>25000</v>
      </c>
    </row>
    <row r="16" spans="1:11" s="10" customFormat="1" x14ac:dyDescent="0.3">
      <c r="A16" s="10" t="s">
        <v>0</v>
      </c>
      <c r="B16" s="10" t="s">
        <v>122</v>
      </c>
      <c r="G16" s="10">
        <v>1089672</v>
      </c>
      <c r="H16" s="10" t="s">
        <v>1057</v>
      </c>
      <c r="I16" s="10" t="s">
        <v>26</v>
      </c>
      <c r="J16" s="10" t="s">
        <v>195</v>
      </c>
      <c r="K16" s="29">
        <v>20000</v>
      </c>
    </row>
    <row r="17" spans="1:11" s="10" customFormat="1" x14ac:dyDescent="0.3">
      <c r="A17" s="10" t="s">
        <v>0</v>
      </c>
      <c r="B17" s="10" t="s">
        <v>709</v>
      </c>
      <c r="G17" s="10">
        <v>1089660</v>
      </c>
      <c r="H17" s="10" t="s">
        <v>1058</v>
      </c>
      <c r="I17" s="10" t="s">
        <v>26</v>
      </c>
      <c r="J17" s="10" t="s">
        <v>104</v>
      </c>
      <c r="K17" s="29">
        <v>3000</v>
      </c>
    </row>
    <row r="18" spans="1:11" s="10" customFormat="1" x14ac:dyDescent="0.3">
      <c r="A18" s="10" t="s">
        <v>0</v>
      </c>
      <c r="B18" s="10" t="s">
        <v>77</v>
      </c>
      <c r="G18" s="10">
        <v>1089651</v>
      </c>
      <c r="H18" s="10" t="s">
        <v>1059</v>
      </c>
      <c r="I18" s="10" t="s">
        <v>26</v>
      </c>
      <c r="J18" s="10" t="s">
        <v>104</v>
      </c>
      <c r="K18" s="29">
        <v>3000</v>
      </c>
    </row>
    <row r="19" spans="1:11" s="10" customFormat="1" x14ac:dyDescent="0.3">
      <c r="A19" s="10" t="s">
        <v>0</v>
      </c>
      <c r="B19" s="10" t="s">
        <v>1060</v>
      </c>
      <c r="G19" s="10">
        <v>1089648</v>
      </c>
      <c r="H19" s="10" t="s">
        <v>1061</v>
      </c>
      <c r="I19" s="10" t="s">
        <v>26</v>
      </c>
      <c r="J19" s="10" t="s">
        <v>104</v>
      </c>
      <c r="K19" s="29">
        <v>3000</v>
      </c>
    </row>
    <row r="20" spans="1:11" s="10" customFormat="1" x14ac:dyDescent="0.3">
      <c r="A20" s="10" t="s">
        <v>0</v>
      </c>
      <c r="B20" s="10" t="s">
        <v>1062</v>
      </c>
      <c r="G20" s="10">
        <v>1089633</v>
      </c>
      <c r="H20" s="10" t="s">
        <v>1063</v>
      </c>
      <c r="I20" s="10" t="s">
        <v>26</v>
      </c>
      <c r="J20" s="10" t="s">
        <v>110</v>
      </c>
      <c r="K20" s="29">
        <v>6000</v>
      </c>
    </row>
    <row r="21" spans="1:11" s="10" customFormat="1" x14ac:dyDescent="0.3">
      <c r="A21" s="10" t="s">
        <v>0</v>
      </c>
      <c r="B21" s="10" t="s">
        <v>125</v>
      </c>
      <c r="G21" s="10">
        <v>1089641</v>
      </c>
      <c r="H21" s="10" t="s">
        <v>1064</v>
      </c>
      <c r="I21" s="10" t="s">
        <v>64</v>
      </c>
      <c r="J21" s="10" t="s">
        <v>124</v>
      </c>
      <c r="K21" s="29">
        <v>4000</v>
      </c>
    </row>
    <row r="22" spans="1:11" s="10" customFormat="1" x14ac:dyDescent="0.3">
      <c r="A22" s="10" t="s">
        <v>0</v>
      </c>
      <c r="B22" s="10" t="s">
        <v>1065</v>
      </c>
      <c r="G22" s="10">
        <v>1089669</v>
      </c>
      <c r="H22" s="10" t="s">
        <v>1066</v>
      </c>
      <c r="I22" s="10" t="s">
        <v>34</v>
      </c>
      <c r="J22" s="10" t="s">
        <v>124</v>
      </c>
      <c r="K22" s="29">
        <v>4000</v>
      </c>
    </row>
    <row r="23" spans="1:11" s="10" customFormat="1" x14ac:dyDescent="0.3">
      <c r="A23" s="10" t="s">
        <v>0</v>
      </c>
      <c r="B23" s="10" t="s">
        <v>1067</v>
      </c>
      <c r="G23" s="10">
        <v>1089663</v>
      </c>
      <c r="H23" s="10" t="s">
        <v>1068</v>
      </c>
      <c r="I23" s="10" t="s">
        <v>26</v>
      </c>
      <c r="J23" s="10" t="s">
        <v>124</v>
      </c>
      <c r="K23" s="29">
        <v>3000</v>
      </c>
    </row>
    <row r="24" spans="1:11" s="10" customFormat="1" x14ac:dyDescent="0.3">
      <c r="A24" s="10" t="s">
        <v>0</v>
      </c>
      <c r="B24" s="10" t="s">
        <v>640</v>
      </c>
      <c r="G24" s="10">
        <v>1089656</v>
      </c>
      <c r="H24" s="10" t="s">
        <v>1069</v>
      </c>
      <c r="I24" s="10" t="s">
        <v>201</v>
      </c>
      <c r="J24" s="10" t="s">
        <v>124</v>
      </c>
      <c r="K24" s="29">
        <v>4000</v>
      </c>
    </row>
    <row r="25" spans="1:11" s="10" customFormat="1" x14ac:dyDescent="0.3">
      <c r="A25" s="10" t="s">
        <v>0</v>
      </c>
      <c r="B25" s="10" t="s">
        <v>125</v>
      </c>
      <c r="G25" s="10">
        <v>1089642</v>
      </c>
      <c r="H25" s="10" t="s">
        <v>1070</v>
      </c>
      <c r="I25" s="10" t="s">
        <v>26</v>
      </c>
      <c r="J25" s="10" t="s">
        <v>124</v>
      </c>
      <c r="K25" s="29">
        <v>3000</v>
      </c>
    </row>
    <row r="26" spans="1:11" s="10" customFormat="1" x14ac:dyDescent="0.3">
      <c r="A26" s="10" t="s">
        <v>0</v>
      </c>
      <c r="B26" s="10" t="s">
        <v>130</v>
      </c>
      <c r="G26" s="10">
        <v>1089629</v>
      </c>
      <c r="H26" s="10" t="s">
        <v>1071</v>
      </c>
      <c r="I26" s="10" t="s">
        <v>26</v>
      </c>
      <c r="J26" s="10" t="s">
        <v>129</v>
      </c>
      <c r="K26" s="29">
        <v>3000</v>
      </c>
    </row>
    <row r="27" spans="1:11" s="23" customFormat="1" x14ac:dyDescent="0.3">
      <c r="A27" s="10" t="s">
        <v>0</v>
      </c>
      <c r="B27" s="10" t="s">
        <v>77</v>
      </c>
      <c r="C27" s="10"/>
      <c r="D27" s="10"/>
      <c r="E27" s="10"/>
      <c r="F27" s="10"/>
      <c r="G27" s="10">
        <v>1089651</v>
      </c>
      <c r="H27" s="10" t="s">
        <v>1059</v>
      </c>
      <c r="I27" s="10" t="s">
        <v>26</v>
      </c>
      <c r="J27" s="10" t="s">
        <v>139</v>
      </c>
      <c r="K27" s="29">
        <v>8000</v>
      </c>
    </row>
    <row r="28" spans="1:11" s="10" customFormat="1" x14ac:dyDescent="0.3">
      <c r="A28" s="10" t="s">
        <v>0</v>
      </c>
      <c r="B28" s="10" t="s">
        <v>1072</v>
      </c>
      <c r="G28" s="10">
        <v>1089649</v>
      </c>
      <c r="H28" s="10" t="s">
        <v>1073</v>
      </c>
      <c r="I28" s="10" t="s">
        <v>26</v>
      </c>
      <c r="J28" s="10" t="s">
        <v>142</v>
      </c>
      <c r="K28" s="29">
        <v>2000</v>
      </c>
    </row>
    <row r="29" spans="1:11" s="10" customFormat="1" x14ac:dyDescent="0.3">
      <c r="A29" s="10" t="s">
        <v>0</v>
      </c>
      <c r="B29" s="10" t="s">
        <v>62</v>
      </c>
      <c r="G29" s="10">
        <v>1089659</v>
      </c>
      <c r="H29" s="10" t="s">
        <v>1074</v>
      </c>
      <c r="I29" s="10" t="s">
        <v>160</v>
      </c>
      <c r="J29" s="10" t="s">
        <v>184</v>
      </c>
      <c r="K29" s="29">
        <v>2500</v>
      </c>
    </row>
    <row r="30" spans="1:11" s="10" customFormat="1" x14ac:dyDescent="0.3">
      <c r="A30" s="10" t="s">
        <v>0</v>
      </c>
      <c r="B30" s="10" t="s">
        <v>62</v>
      </c>
      <c r="G30" s="10">
        <v>1089658</v>
      </c>
      <c r="H30" s="10" t="s">
        <v>1075</v>
      </c>
      <c r="I30" s="10" t="s">
        <v>160</v>
      </c>
      <c r="J30" s="10" t="s">
        <v>184</v>
      </c>
      <c r="K30" s="29">
        <v>2500</v>
      </c>
    </row>
    <row r="31" spans="1:11" s="23" customFormat="1" x14ac:dyDescent="0.3">
      <c r="A31" s="23" t="s">
        <v>9</v>
      </c>
      <c r="B31" s="23" t="s">
        <v>580</v>
      </c>
      <c r="G31" s="23">
        <v>1089640</v>
      </c>
      <c r="H31" s="23" t="s">
        <v>1076</v>
      </c>
      <c r="I31" s="23" t="s">
        <v>160</v>
      </c>
      <c r="J31" s="23" t="s">
        <v>394</v>
      </c>
      <c r="K31" s="30">
        <v>36000</v>
      </c>
    </row>
    <row r="32" spans="1:11" s="23" customFormat="1" x14ac:dyDescent="0.3">
      <c r="A32" s="23" t="s">
        <v>9</v>
      </c>
      <c r="B32" s="23" t="s">
        <v>727</v>
      </c>
      <c r="G32" s="23">
        <v>1089661</v>
      </c>
      <c r="H32" s="23" t="s">
        <v>1077</v>
      </c>
      <c r="I32" s="23" t="s">
        <v>26</v>
      </c>
      <c r="J32" s="23" t="s">
        <v>74</v>
      </c>
      <c r="K32" s="30">
        <v>20000</v>
      </c>
    </row>
    <row r="33" spans="1:11" s="23" customFormat="1" x14ac:dyDescent="0.3">
      <c r="A33" s="23" t="s">
        <v>9</v>
      </c>
      <c r="B33" s="23" t="s">
        <v>1078</v>
      </c>
      <c r="G33" s="23">
        <v>1089668</v>
      </c>
      <c r="H33" s="23" t="s">
        <v>1079</v>
      </c>
      <c r="I33" s="23" t="s">
        <v>201</v>
      </c>
      <c r="J33" s="23" t="s">
        <v>74</v>
      </c>
      <c r="K33" s="30">
        <v>21000</v>
      </c>
    </row>
    <row r="34" spans="1:11" s="23" customFormat="1" x14ac:dyDescent="0.3">
      <c r="A34" s="23" t="s">
        <v>9</v>
      </c>
      <c r="B34" s="23" t="s">
        <v>1078</v>
      </c>
      <c r="G34" s="23">
        <v>1089668</v>
      </c>
      <c r="H34" s="23" t="s">
        <v>1079</v>
      </c>
      <c r="I34" s="23" t="s">
        <v>201</v>
      </c>
      <c r="J34" s="23" t="s">
        <v>316</v>
      </c>
      <c r="K34" s="30">
        <v>21000</v>
      </c>
    </row>
    <row r="35" spans="1:11" s="23" customFormat="1" x14ac:dyDescent="0.3">
      <c r="A35" s="23" t="s">
        <v>9</v>
      </c>
      <c r="B35" s="23" t="s">
        <v>1080</v>
      </c>
      <c r="G35" s="23">
        <v>1089639</v>
      </c>
      <c r="H35" s="23" t="s">
        <v>1081</v>
      </c>
      <c r="I35" s="23" t="s">
        <v>34</v>
      </c>
      <c r="J35" s="23" t="s">
        <v>39</v>
      </c>
      <c r="K35" s="30">
        <v>18000</v>
      </c>
    </row>
    <row r="36" spans="1:11" s="23" customFormat="1" x14ac:dyDescent="0.3">
      <c r="A36" s="23" t="s">
        <v>9</v>
      </c>
      <c r="B36" s="23" t="s">
        <v>1082</v>
      </c>
      <c r="G36" s="23">
        <v>1089653</v>
      </c>
      <c r="H36" s="23" t="s">
        <v>1083</v>
      </c>
      <c r="I36" s="23" t="s">
        <v>34</v>
      </c>
      <c r="J36" s="23" t="s">
        <v>84</v>
      </c>
      <c r="K36" s="30">
        <v>18000</v>
      </c>
    </row>
    <row r="37" spans="1:11" s="23" customFormat="1" x14ac:dyDescent="0.3">
      <c r="A37" s="23" t="s">
        <v>9</v>
      </c>
      <c r="B37" s="23" t="s">
        <v>580</v>
      </c>
      <c r="G37" s="23">
        <v>1089662</v>
      </c>
      <c r="H37" s="23" t="s">
        <v>1084</v>
      </c>
      <c r="I37" s="23" t="s">
        <v>26</v>
      </c>
      <c r="J37" s="23" t="s">
        <v>84</v>
      </c>
      <c r="K37" s="30">
        <v>20000</v>
      </c>
    </row>
    <row r="38" spans="1:11" s="23" customFormat="1" x14ac:dyDescent="0.3">
      <c r="A38" s="23" t="s">
        <v>9</v>
      </c>
      <c r="B38" s="23" t="s">
        <v>1085</v>
      </c>
      <c r="G38" s="23">
        <v>1089632</v>
      </c>
      <c r="H38" s="23" t="s">
        <v>1086</v>
      </c>
      <c r="I38" s="23" t="s">
        <v>26</v>
      </c>
      <c r="J38" s="23" t="s">
        <v>84</v>
      </c>
      <c r="K38" s="30">
        <v>20000</v>
      </c>
    </row>
    <row r="39" spans="1:11" x14ac:dyDescent="0.3">
      <c r="A39" s="23" t="s">
        <v>9</v>
      </c>
      <c r="B39" s="23" t="s">
        <v>886</v>
      </c>
      <c r="C39" s="23"/>
      <c r="D39" s="23"/>
      <c r="E39" s="23"/>
      <c r="F39" s="23"/>
      <c r="G39" s="23">
        <v>1089650</v>
      </c>
      <c r="H39" s="23" t="s">
        <v>1087</v>
      </c>
      <c r="I39" s="23" t="s">
        <v>26</v>
      </c>
      <c r="J39" s="23" t="s">
        <v>84</v>
      </c>
      <c r="K39" s="30">
        <v>20000</v>
      </c>
    </row>
    <row r="40" spans="1:11" x14ac:dyDescent="0.3">
      <c r="A40" s="23" t="s">
        <v>9</v>
      </c>
      <c r="B40" s="23" t="s">
        <v>1078</v>
      </c>
      <c r="C40" s="23"/>
      <c r="D40" s="23"/>
      <c r="E40" s="23"/>
      <c r="F40" s="23"/>
      <c r="G40" s="23">
        <v>1089668</v>
      </c>
      <c r="H40" s="23" t="s">
        <v>1079</v>
      </c>
      <c r="I40" s="23" t="s">
        <v>201</v>
      </c>
      <c r="J40" s="23" t="s">
        <v>84</v>
      </c>
      <c r="K40" s="30">
        <v>21000</v>
      </c>
    </row>
    <row r="41" spans="1:11" s="23" customFormat="1" x14ac:dyDescent="0.3">
      <c r="A41" s="23" t="s">
        <v>9</v>
      </c>
      <c r="B41" s="23" t="s">
        <v>1088</v>
      </c>
      <c r="G41" s="23">
        <v>1089647</v>
      </c>
      <c r="H41" s="23" t="s">
        <v>1089</v>
      </c>
      <c r="I41" s="23" t="s">
        <v>79</v>
      </c>
      <c r="J41" s="23" t="s">
        <v>84</v>
      </c>
      <c r="K41" s="30">
        <v>22000</v>
      </c>
    </row>
    <row r="42" spans="1:11" s="23" customFormat="1" x14ac:dyDescent="0.3">
      <c r="A42" s="23" t="s">
        <v>9</v>
      </c>
      <c r="B42" s="23" t="s">
        <v>1082</v>
      </c>
      <c r="G42" s="23">
        <v>1089653</v>
      </c>
      <c r="H42" s="23" t="s">
        <v>1083</v>
      </c>
      <c r="I42" s="23" t="s">
        <v>34</v>
      </c>
      <c r="J42" s="23" t="s">
        <v>45</v>
      </c>
      <c r="K42" s="30">
        <v>20000</v>
      </c>
    </row>
    <row r="43" spans="1:11" s="23" customFormat="1" x14ac:dyDescent="0.3">
      <c r="A43" s="23" t="s">
        <v>9</v>
      </c>
      <c r="B43" s="23" t="s">
        <v>1090</v>
      </c>
      <c r="G43" s="23">
        <v>1089627</v>
      </c>
      <c r="H43" s="23" t="s">
        <v>1004</v>
      </c>
      <c r="I43" s="23" t="s">
        <v>26</v>
      </c>
      <c r="J43" s="23" t="s">
        <v>110</v>
      </c>
      <c r="K43" s="30">
        <v>6000</v>
      </c>
    </row>
    <row r="44" spans="1:11" s="23" customFormat="1" x14ac:dyDescent="0.3">
      <c r="A44" s="23" t="s">
        <v>9</v>
      </c>
      <c r="B44" s="23" t="s">
        <v>1091</v>
      </c>
      <c r="G44" s="23">
        <v>1089671</v>
      </c>
      <c r="H44" s="23" t="s">
        <v>1092</v>
      </c>
      <c r="I44" s="23" t="s">
        <v>160</v>
      </c>
      <c r="J44" s="23" t="s">
        <v>129</v>
      </c>
      <c r="K44" s="30">
        <v>4000</v>
      </c>
    </row>
    <row r="45" spans="1:11" x14ac:dyDescent="0.3">
      <c r="A45" t="s">
        <v>185</v>
      </c>
      <c r="B45" t="s">
        <v>1093</v>
      </c>
      <c r="G45">
        <v>1089636</v>
      </c>
      <c r="H45" t="s">
        <v>1094</v>
      </c>
      <c r="I45" t="s">
        <v>201</v>
      </c>
      <c r="J45" t="s">
        <v>39</v>
      </c>
      <c r="K45" s="31">
        <v>21000</v>
      </c>
    </row>
    <row r="46" spans="1:11" x14ac:dyDescent="0.3">
      <c r="A46" t="s">
        <v>185</v>
      </c>
      <c r="B46" t="s">
        <v>186</v>
      </c>
      <c r="G46">
        <v>1089644</v>
      </c>
      <c r="H46" t="s">
        <v>1095</v>
      </c>
      <c r="I46" t="s">
        <v>201</v>
      </c>
      <c r="J46" t="s">
        <v>168</v>
      </c>
      <c r="K46" s="31">
        <v>21000</v>
      </c>
    </row>
    <row r="47" spans="1:11" x14ac:dyDescent="0.3">
      <c r="A47" t="s">
        <v>185</v>
      </c>
      <c r="B47" t="s">
        <v>205</v>
      </c>
      <c r="G47">
        <v>1089657</v>
      </c>
      <c r="H47" t="s">
        <v>1096</v>
      </c>
      <c r="I47" t="s">
        <v>34</v>
      </c>
      <c r="J47" t="s">
        <v>124</v>
      </c>
      <c r="K47" s="31">
        <v>4000</v>
      </c>
    </row>
    <row r="48" spans="1:11" x14ac:dyDescent="0.3">
      <c r="A48" t="s">
        <v>185</v>
      </c>
      <c r="B48" t="s">
        <v>344</v>
      </c>
      <c r="G48">
        <v>1089630</v>
      </c>
      <c r="H48" t="s">
        <v>1097</v>
      </c>
      <c r="I48" t="s">
        <v>26</v>
      </c>
      <c r="J48" t="s">
        <v>124</v>
      </c>
      <c r="K48" s="31">
        <v>3000</v>
      </c>
    </row>
    <row r="49" spans="1:11" x14ac:dyDescent="0.3">
      <c r="A49" t="s">
        <v>185</v>
      </c>
      <c r="B49" t="s">
        <v>1098</v>
      </c>
      <c r="G49">
        <v>1089665</v>
      </c>
      <c r="H49" t="s">
        <v>1099</v>
      </c>
      <c r="I49" t="s">
        <v>26</v>
      </c>
      <c r="J49" t="s">
        <v>124</v>
      </c>
      <c r="K49" s="31">
        <v>3000</v>
      </c>
    </row>
    <row r="50" spans="1:11" x14ac:dyDescent="0.3">
      <c r="A50" t="s">
        <v>185</v>
      </c>
      <c r="B50" t="s">
        <v>205</v>
      </c>
      <c r="G50">
        <v>1089637</v>
      </c>
      <c r="H50" t="s">
        <v>1100</v>
      </c>
      <c r="I50" t="s">
        <v>26</v>
      </c>
      <c r="J50" t="s">
        <v>124</v>
      </c>
      <c r="K50" s="31">
        <v>3000</v>
      </c>
    </row>
    <row r="51" spans="1:11" x14ac:dyDescent="0.3">
      <c r="A51" t="s">
        <v>185</v>
      </c>
      <c r="B51" t="s">
        <v>1101</v>
      </c>
      <c r="G51">
        <v>1089652</v>
      </c>
      <c r="H51" t="s">
        <v>1102</v>
      </c>
      <c r="I51" t="s">
        <v>26</v>
      </c>
      <c r="J51" t="s">
        <v>124</v>
      </c>
      <c r="K51" s="31">
        <v>3000</v>
      </c>
    </row>
    <row r="52" spans="1:11" x14ac:dyDescent="0.3">
      <c r="A52" s="44" t="s">
        <v>185</v>
      </c>
      <c r="B52" s="44" t="s">
        <v>189</v>
      </c>
      <c r="C52" s="44"/>
      <c r="D52" s="44"/>
      <c r="E52" s="44"/>
      <c r="F52" s="44"/>
      <c r="G52" s="44">
        <v>1089655</v>
      </c>
      <c r="H52" s="44" t="s">
        <v>1103</v>
      </c>
      <c r="I52" s="44" t="s">
        <v>26</v>
      </c>
      <c r="J52" s="44" t="s">
        <v>129</v>
      </c>
      <c r="K52" s="48">
        <v>3000</v>
      </c>
    </row>
    <row r="53" spans="1:11" x14ac:dyDescent="0.3">
      <c r="A53" t="s">
        <v>185</v>
      </c>
      <c r="B53" t="s">
        <v>1104</v>
      </c>
      <c r="G53">
        <v>1089638</v>
      </c>
      <c r="H53" t="s">
        <v>1105</v>
      </c>
      <c r="I53" t="s">
        <v>26</v>
      </c>
      <c r="J53" t="s">
        <v>137</v>
      </c>
      <c r="K53" s="31">
        <v>6000</v>
      </c>
    </row>
    <row r="54" spans="1:11" x14ac:dyDescent="0.3">
      <c r="A54" t="s">
        <v>185</v>
      </c>
      <c r="B54" t="s">
        <v>208</v>
      </c>
      <c r="G54">
        <v>1089654</v>
      </c>
      <c r="H54" t="s">
        <v>1106</v>
      </c>
      <c r="I54" t="s">
        <v>210</v>
      </c>
      <c r="J54" t="s">
        <v>1024</v>
      </c>
      <c r="K54" s="31">
        <v>2000</v>
      </c>
    </row>
    <row r="55" spans="1:11" x14ac:dyDescent="0.3">
      <c r="J55" s="1" t="s">
        <v>389</v>
      </c>
      <c r="K55" s="33">
        <f>SUM(K2:K54)</f>
        <v>641500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workbookViewId="0">
      <selection sqref="A1:XFD1048576"/>
    </sheetView>
  </sheetViews>
  <sheetFormatPr defaultRowHeight="14.4" x14ac:dyDescent="0.3"/>
  <cols>
    <col min="1" max="1" width="15.88671875" customWidth="1"/>
    <col min="2" max="2" width="15.33203125" customWidth="1"/>
    <col min="3" max="3" width="18.77734375" customWidth="1"/>
    <col min="5" max="5" width="8.77734375" style="2"/>
  </cols>
  <sheetData>
    <row r="2" spans="1:5" x14ac:dyDescent="0.3">
      <c r="A2" s="1" t="s">
        <v>1107</v>
      </c>
    </row>
    <row r="4" spans="1:5" x14ac:dyDescent="0.3">
      <c r="A4" t="s">
        <v>0</v>
      </c>
      <c r="B4" t="s">
        <v>1</v>
      </c>
      <c r="C4" t="s">
        <v>2</v>
      </c>
      <c r="D4" t="s">
        <v>3</v>
      </c>
      <c r="E4" s="2" t="s">
        <v>4</v>
      </c>
    </row>
    <row r="5" spans="1:5" x14ac:dyDescent="0.3">
      <c r="A5" t="s">
        <v>5</v>
      </c>
      <c r="B5">
        <v>14</v>
      </c>
      <c r="C5">
        <v>77</v>
      </c>
      <c r="D5">
        <v>66</v>
      </c>
      <c r="E5" s="2">
        <f>D5/C5</f>
        <v>0.8571428571428571</v>
      </c>
    </row>
    <row r="6" spans="1:5" x14ac:dyDescent="0.3">
      <c r="A6" t="s">
        <v>6</v>
      </c>
      <c r="B6">
        <v>13</v>
      </c>
      <c r="C6">
        <v>72</v>
      </c>
      <c r="D6">
        <v>37</v>
      </c>
      <c r="E6" s="2">
        <f>D6/C6</f>
        <v>0.51388888888888884</v>
      </c>
    </row>
    <row r="7" spans="1:5" x14ac:dyDescent="0.3">
      <c r="A7" t="s">
        <v>7</v>
      </c>
      <c r="B7">
        <v>15</v>
      </c>
      <c r="C7">
        <v>83</v>
      </c>
      <c r="D7">
        <v>93</v>
      </c>
      <c r="E7" s="2">
        <f>D7/C7</f>
        <v>1.1204819277108433</v>
      </c>
    </row>
    <row r="8" spans="1:5" x14ac:dyDescent="0.3">
      <c r="A8" t="s">
        <v>8</v>
      </c>
      <c r="B8">
        <v>18</v>
      </c>
      <c r="C8">
        <v>99</v>
      </c>
      <c r="D8">
        <v>108</v>
      </c>
      <c r="E8" s="2">
        <f>D8/C8</f>
        <v>1.0909090909090908</v>
      </c>
    </row>
    <row r="10" spans="1:5" x14ac:dyDescent="0.3">
      <c r="A10" t="s">
        <v>9</v>
      </c>
      <c r="B10" t="s">
        <v>10</v>
      </c>
      <c r="D10" t="s">
        <v>3</v>
      </c>
      <c r="E10" s="2" t="s">
        <v>4</v>
      </c>
    </row>
    <row r="11" spans="1:5" x14ac:dyDescent="0.3">
      <c r="A11" t="s">
        <v>5</v>
      </c>
      <c r="B11">
        <v>7</v>
      </c>
      <c r="C11">
        <v>39</v>
      </c>
      <c r="D11">
        <v>34</v>
      </c>
      <c r="E11" s="2">
        <f>D11/C11</f>
        <v>0.87179487179487181</v>
      </c>
    </row>
    <row r="12" spans="1:5" x14ac:dyDescent="0.3">
      <c r="A12" t="s">
        <v>6</v>
      </c>
      <c r="B12">
        <v>6</v>
      </c>
      <c r="C12">
        <v>33</v>
      </c>
      <c r="D12">
        <v>17</v>
      </c>
      <c r="E12" s="2">
        <f>D12/C12</f>
        <v>0.51515151515151514</v>
      </c>
    </row>
    <row r="13" spans="1:5" x14ac:dyDescent="0.3">
      <c r="A13" t="s">
        <v>7</v>
      </c>
      <c r="B13">
        <v>5</v>
      </c>
      <c r="C13">
        <v>28</v>
      </c>
      <c r="D13">
        <v>24</v>
      </c>
      <c r="E13" s="2">
        <f>D13/C13</f>
        <v>0.8571428571428571</v>
      </c>
    </row>
    <row r="14" spans="1:5" x14ac:dyDescent="0.3">
      <c r="A14" t="s">
        <v>8</v>
      </c>
      <c r="B14">
        <v>7</v>
      </c>
      <c r="C14">
        <v>39</v>
      </c>
      <c r="D14">
        <v>14</v>
      </c>
      <c r="E14" s="2">
        <f>D14/C14</f>
        <v>0.35897435897435898</v>
      </c>
    </row>
    <row r="17" spans="1:5" x14ac:dyDescent="0.3">
      <c r="A17" t="s">
        <v>11</v>
      </c>
      <c r="B17" t="s">
        <v>10</v>
      </c>
      <c r="D17" t="s">
        <v>3</v>
      </c>
      <c r="E17" s="2" t="s">
        <v>4</v>
      </c>
    </row>
    <row r="18" spans="1:5" x14ac:dyDescent="0.3">
      <c r="A18" t="s">
        <v>5</v>
      </c>
      <c r="B18">
        <v>6</v>
      </c>
      <c r="C18">
        <v>33</v>
      </c>
      <c r="D18">
        <v>18</v>
      </c>
      <c r="E18" s="2">
        <f>D18/C18</f>
        <v>0.54545454545454541</v>
      </c>
    </row>
    <row r="19" spans="1:5" x14ac:dyDescent="0.3">
      <c r="A19" t="s">
        <v>6</v>
      </c>
      <c r="B19">
        <v>5</v>
      </c>
      <c r="C19">
        <v>28</v>
      </c>
      <c r="D19">
        <v>6</v>
      </c>
      <c r="E19" s="2">
        <f>D19/C19</f>
        <v>0.21428571428571427</v>
      </c>
    </row>
    <row r="20" spans="1:5" x14ac:dyDescent="0.3">
      <c r="A20" t="s">
        <v>7</v>
      </c>
      <c r="B20">
        <v>5</v>
      </c>
      <c r="C20">
        <v>28</v>
      </c>
      <c r="D20">
        <v>14</v>
      </c>
      <c r="E20" s="2">
        <f>D20/C20</f>
        <v>0.5</v>
      </c>
    </row>
    <row r="21" spans="1:5" x14ac:dyDescent="0.3">
      <c r="A21" t="s">
        <v>8</v>
      </c>
      <c r="B21">
        <v>5</v>
      </c>
      <c r="C21">
        <v>28</v>
      </c>
      <c r="D21">
        <v>7</v>
      </c>
      <c r="E21" s="2">
        <f>D21/C21</f>
        <v>0.25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workbookViewId="0">
      <selection activeCell="C1" sqref="C1:F1048576"/>
    </sheetView>
  </sheetViews>
  <sheetFormatPr defaultRowHeight="14.4" x14ac:dyDescent="0.3"/>
  <cols>
    <col min="2" max="2" width="27.77734375" customWidth="1"/>
    <col min="3" max="3" width="9" customWidth="1"/>
    <col min="4" max="4" width="26.77734375" customWidth="1"/>
    <col min="5" max="5" width="16.44140625" customWidth="1"/>
    <col min="6" max="6" width="29.77734375" customWidth="1"/>
    <col min="7" max="7" width="13.21875" style="16" bestFit="1" customWidth="1"/>
  </cols>
  <sheetData>
    <row r="1" spans="1:10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1108</v>
      </c>
      <c r="C2" s="18">
        <v>1089727</v>
      </c>
      <c r="D2" s="18" t="s">
        <v>1109</v>
      </c>
      <c r="E2" s="18" t="s">
        <v>26</v>
      </c>
      <c r="F2" s="18" t="s">
        <v>1110</v>
      </c>
      <c r="G2" s="19">
        <v>6000</v>
      </c>
    </row>
    <row r="3" spans="1:10" s="18" customFormat="1" x14ac:dyDescent="0.3">
      <c r="A3" s="18" t="s">
        <v>11</v>
      </c>
      <c r="B3" s="18" t="s">
        <v>395</v>
      </c>
      <c r="C3" s="18">
        <v>1089752</v>
      </c>
      <c r="D3" s="18" t="s">
        <v>1111</v>
      </c>
      <c r="E3" s="18" t="s">
        <v>64</v>
      </c>
      <c r="F3" s="18" t="s">
        <v>68</v>
      </c>
      <c r="G3" s="19">
        <v>15000</v>
      </c>
    </row>
    <row r="4" spans="1:10" s="18" customFormat="1" x14ac:dyDescent="0.3">
      <c r="A4" s="18" t="s">
        <v>11</v>
      </c>
      <c r="B4" s="18" t="s">
        <v>1112</v>
      </c>
      <c r="C4" s="18">
        <v>1089724</v>
      </c>
      <c r="D4" s="18" t="s">
        <v>1113</v>
      </c>
      <c r="E4" s="18" t="s">
        <v>34</v>
      </c>
      <c r="F4" s="18" t="s">
        <v>621</v>
      </c>
      <c r="G4" s="19">
        <v>20000</v>
      </c>
    </row>
    <row r="5" spans="1:10" s="18" customFormat="1" x14ac:dyDescent="0.3">
      <c r="A5" s="18" t="s">
        <v>11</v>
      </c>
      <c r="B5" s="18" t="s">
        <v>1114</v>
      </c>
      <c r="C5" s="18">
        <v>1089757</v>
      </c>
      <c r="D5" s="18" t="s">
        <v>1115</v>
      </c>
      <c r="E5" s="18" t="s">
        <v>60</v>
      </c>
      <c r="F5" s="18" t="s">
        <v>316</v>
      </c>
      <c r="G5" s="19">
        <v>18000</v>
      </c>
    </row>
    <row r="6" spans="1:10" s="18" customFormat="1" x14ac:dyDescent="0.3">
      <c r="A6" s="18" t="s">
        <v>11</v>
      </c>
      <c r="B6" s="18" t="s">
        <v>395</v>
      </c>
      <c r="C6" s="18">
        <v>1089718</v>
      </c>
      <c r="D6" s="18" t="s">
        <v>1116</v>
      </c>
      <c r="E6" s="18" t="s">
        <v>198</v>
      </c>
      <c r="F6" s="18" t="s">
        <v>84</v>
      </c>
      <c r="G6" s="19">
        <v>22000</v>
      </c>
    </row>
    <row r="7" spans="1:10" s="18" customFormat="1" x14ac:dyDescent="0.3">
      <c r="A7" s="18" t="s">
        <v>11</v>
      </c>
      <c r="B7" s="18" t="s">
        <v>1112</v>
      </c>
      <c r="C7" s="18">
        <v>1089724</v>
      </c>
      <c r="D7" s="18" t="s">
        <v>1113</v>
      </c>
      <c r="E7" s="18" t="s">
        <v>34</v>
      </c>
      <c r="F7" s="18" t="s">
        <v>45</v>
      </c>
      <c r="G7" s="19">
        <v>20000</v>
      </c>
    </row>
    <row r="8" spans="1:10" s="18" customFormat="1" x14ac:dyDescent="0.3">
      <c r="A8" s="18" t="s">
        <v>11</v>
      </c>
      <c r="B8" s="18" t="s">
        <v>395</v>
      </c>
      <c r="C8" s="18">
        <v>1089718</v>
      </c>
      <c r="D8" s="18" t="s">
        <v>1116</v>
      </c>
      <c r="E8" s="18" t="s">
        <v>198</v>
      </c>
      <c r="F8" s="18" t="s">
        <v>793</v>
      </c>
      <c r="G8" s="19">
        <v>22000</v>
      </c>
    </row>
    <row r="9" spans="1:10" s="18" customFormat="1" x14ac:dyDescent="0.3">
      <c r="A9" s="18" t="s">
        <v>11</v>
      </c>
      <c r="B9" s="18" t="s">
        <v>1117</v>
      </c>
      <c r="C9" s="18">
        <v>1089682</v>
      </c>
      <c r="D9" s="18" t="s">
        <v>1118</v>
      </c>
      <c r="E9" s="18" t="s">
        <v>26</v>
      </c>
      <c r="F9" s="18" t="s">
        <v>129</v>
      </c>
      <c r="G9" s="19">
        <v>3000</v>
      </c>
    </row>
    <row r="10" spans="1:10" s="18" customFormat="1" x14ac:dyDescent="0.3">
      <c r="A10" s="18" t="s">
        <v>11</v>
      </c>
      <c r="B10" s="18" t="s">
        <v>1117</v>
      </c>
      <c r="C10" s="18">
        <v>1089747</v>
      </c>
      <c r="D10" s="18" t="s">
        <v>1119</v>
      </c>
      <c r="E10" s="18" t="s">
        <v>26</v>
      </c>
      <c r="F10" s="18" t="s">
        <v>134</v>
      </c>
      <c r="G10" s="19">
        <v>4000</v>
      </c>
    </row>
    <row r="11" spans="1:10" s="18" customFormat="1" x14ac:dyDescent="0.3">
      <c r="A11" s="18" t="s">
        <v>11</v>
      </c>
      <c r="B11" s="18" t="s">
        <v>1120</v>
      </c>
      <c r="C11" s="18">
        <v>1089688</v>
      </c>
      <c r="D11" s="18" t="s">
        <v>1121</v>
      </c>
      <c r="E11" s="18" t="s">
        <v>26</v>
      </c>
      <c r="F11" s="18" t="s">
        <v>207</v>
      </c>
      <c r="G11" s="19">
        <v>3000</v>
      </c>
    </row>
    <row r="12" spans="1:10" s="18" customFormat="1" x14ac:dyDescent="0.3">
      <c r="A12" s="18" t="s">
        <v>11</v>
      </c>
      <c r="B12" s="18" t="s">
        <v>1117</v>
      </c>
      <c r="C12" s="18">
        <v>1089701</v>
      </c>
      <c r="D12" s="18" t="s">
        <v>1122</v>
      </c>
      <c r="E12" s="18" t="s">
        <v>26</v>
      </c>
      <c r="F12" s="18" t="s">
        <v>142</v>
      </c>
      <c r="G12" s="19">
        <v>2000</v>
      </c>
    </row>
    <row r="13" spans="1:10" s="18" customFormat="1" x14ac:dyDescent="0.3">
      <c r="A13" s="18" t="s">
        <v>11</v>
      </c>
      <c r="B13" s="18" t="s">
        <v>1123</v>
      </c>
      <c r="C13" s="18">
        <v>1089760</v>
      </c>
      <c r="D13" s="18" t="s">
        <v>1124</v>
      </c>
      <c r="E13" s="18" t="s">
        <v>482</v>
      </c>
      <c r="F13" s="18" t="s">
        <v>39</v>
      </c>
      <c r="G13" s="19">
        <v>20000</v>
      </c>
      <c r="H13" s="20">
        <f>SUM(G2:G13)</f>
        <v>155000</v>
      </c>
      <c r="I13" s="18" t="e">
        <f>SUM(#REF!)</f>
        <v>#REF!</v>
      </c>
      <c r="J13" s="28" t="e">
        <f>I13/H13</f>
        <v>#REF!</v>
      </c>
    </row>
    <row r="14" spans="1:10" s="10" customFormat="1" x14ac:dyDescent="0.3">
      <c r="A14" s="10" t="s">
        <v>0</v>
      </c>
      <c r="B14" s="10" t="s">
        <v>271</v>
      </c>
      <c r="C14" s="10">
        <v>1089734</v>
      </c>
      <c r="D14" s="10" t="s">
        <v>1125</v>
      </c>
      <c r="E14" s="10" t="s">
        <v>305</v>
      </c>
      <c r="F14" s="10" t="s">
        <v>48</v>
      </c>
      <c r="G14" s="21">
        <v>2500</v>
      </c>
    </row>
    <row r="15" spans="1:10" s="10" customFormat="1" x14ac:dyDescent="0.3">
      <c r="A15" s="10" t="s">
        <v>0</v>
      </c>
      <c r="B15" s="10" t="s">
        <v>271</v>
      </c>
      <c r="C15" s="10">
        <v>1089739</v>
      </c>
      <c r="D15" s="10" t="s">
        <v>1126</v>
      </c>
      <c r="E15" s="10" t="s">
        <v>26</v>
      </c>
      <c r="F15" s="10" t="s">
        <v>48</v>
      </c>
      <c r="G15" s="21">
        <v>2500</v>
      </c>
    </row>
    <row r="16" spans="1:10" s="10" customFormat="1" x14ac:dyDescent="0.3">
      <c r="A16" s="10" t="s">
        <v>0</v>
      </c>
      <c r="B16" s="10" t="s">
        <v>271</v>
      </c>
      <c r="C16" s="10">
        <v>1089731</v>
      </c>
      <c r="D16" s="10" t="s">
        <v>1127</v>
      </c>
      <c r="E16" s="10" t="s">
        <v>26</v>
      </c>
      <c r="F16" s="10" t="s">
        <v>1110</v>
      </c>
      <c r="G16" s="21">
        <v>6000</v>
      </c>
    </row>
    <row r="17" spans="1:7" s="10" customFormat="1" x14ac:dyDescent="0.3">
      <c r="A17" s="10" t="s">
        <v>0</v>
      </c>
      <c r="B17" s="10" t="s">
        <v>1128</v>
      </c>
      <c r="C17" s="10">
        <v>1089725</v>
      </c>
      <c r="D17" s="10" t="s">
        <v>1129</v>
      </c>
      <c r="E17" s="10" t="s">
        <v>26</v>
      </c>
      <c r="F17" s="10" t="s">
        <v>1130</v>
      </c>
      <c r="G17" s="21">
        <v>18000</v>
      </c>
    </row>
    <row r="18" spans="1:7" s="10" customFormat="1" x14ac:dyDescent="0.3">
      <c r="A18" s="10" t="s">
        <v>0</v>
      </c>
      <c r="B18" s="10" t="s">
        <v>77</v>
      </c>
      <c r="C18" s="10">
        <v>1089708</v>
      </c>
      <c r="D18" s="10" t="s">
        <v>1131</v>
      </c>
      <c r="E18" s="10" t="s">
        <v>26</v>
      </c>
      <c r="F18" s="10" t="s">
        <v>465</v>
      </c>
      <c r="G18" s="21">
        <v>14000</v>
      </c>
    </row>
    <row r="19" spans="1:7" s="10" customFormat="1" x14ac:dyDescent="0.3">
      <c r="A19" s="10" t="s">
        <v>0</v>
      </c>
      <c r="B19" s="10" t="s">
        <v>263</v>
      </c>
      <c r="C19" s="10">
        <v>1089679</v>
      </c>
      <c r="D19" s="10" t="s">
        <v>1132</v>
      </c>
      <c r="E19" s="10" t="s">
        <v>26</v>
      </c>
      <c r="F19" s="10" t="s">
        <v>719</v>
      </c>
      <c r="G19" s="21">
        <v>15000</v>
      </c>
    </row>
    <row r="20" spans="1:7" s="10" customFormat="1" x14ac:dyDescent="0.3">
      <c r="A20" s="10" t="s">
        <v>0</v>
      </c>
      <c r="B20" s="10" t="s">
        <v>77</v>
      </c>
      <c r="C20" s="10">
        <v>1089743</v>
      </c>
      <c r="D20" s="10" t="s">
        <v>1133</v>
      </c>
      <c r="E20" s="10" t="s">
        <v>26</v>
      </c>
      <c r="F20" s="10" t="s">
        <v>51</v>
      </c>
      <c r="G20" s="21">
        <v>15000</v>
      </c>
    </row>
    <row r="21" spans="1:7" s="10" customFormat="1" x14ac:dyDescent="0.3">
      <c r="A21" s="10" t="s">
        <v>0</v>
      </c>
      <c r="B21" s="10" t="s">
        <v>263</v>
      </c>
      <c r="C21" s="10">
        <v>1089679</v>
      </c>
      <c r="D21" s="10" t="s">
        <v>1132</v>
      </c>
      <c r="E21" s="10" t="s">
        <v>26</v>
      </c>
      <c r="F21" s="10" t="s">
        <v>27</v>
      </c>
      <c r="G21" s="21">
        <v>12000</v>
      </c>
    </row>
    <row r="22" spans="1:7" s="10" customFormat="1" x14ac:dyDescent="0.3">
      <c r="A22" s="10" t="s">
        <v>0</v>
      </c>
      <c r="B22" s="10" t="s">
        <v>1134</v>
      </c>
      <c r="C22" s="10">
        <v>1089692</v>
      </c>
      <c r="D22" s="10" t="s">
        <v>1135</v>
      </c>
      <c r="E22" s="10" t="s">
        <v>26</v>
      </c>
      <c r="F22" s="10" t="s">
        <v>61</v>
      </c>
      <c r="G22" s="21">
        <v>14000</v>
      </c>
    </row>
    <row r="23" spans="1:7" s="10" customFormat="1" x14ac:dyDescent="0.3">
      <c r="A23" s="10" t="s">
        <v>0</v>
      </c>
      <c r="B23" s="10" t="s">
        <v>1045</v>
      </c>
      <c r="C23" s="10">
        <v>1089756</v>
      </c>
      <c r="D23" s="10" t="s">
        <v>1136</v>
      </c>
      <c r="E23" s="10" t="s">
        <v>198</v>
      </c>
      <c r="F23" s="10" t="s">
        <v>65</v>
      </c>
      <c r="G23" s="21">
        <v>9000</v>
      </c>
    </row>
    <row r="24" spans="1:7" s="10" customFormat="1" x14ac:dyDescent="0.3">
      <c r="A24" s="10" t="s">
        <v>0</v>
      </c>
      <c r="B24" s="10" t="s">
        <v>260</v>
      </c>
      <c r="C24" s="10">
        <v>1089675</v>
      </c>
      <c r="D24" s="10" t="s">
        <v>1137</v>
      </c>
      <c r="E24" s="10" t="s">
        <v>34</v>
      </c>
      <c r="F24" s="10" t="s">
        <v>65</v>
      </c>
      <c r="G24" s="21">
        <v>8000</v>
      </c>
    </row>
    <row r="25" spans="1:7" s="10" customFormat="1" x14ac:dyDescent="0.3">
      <c r="A25" s="10" t="s">
        <v>0</v>
      </c>
      <c r="B25" s="10" t="s">
        <v>1138</v>
      </c>
      <c r="C25" s="10">
        <v>1089698</v>
      </c>
      <c r="D25" s="10" t="s">
        <v>1139</v>
      </c>
      <c r="E25" s="10" t="s">
        <v>26</v>
      </c>
      <c r="F25" s="10" t="s">
        <v>68</v>
      </c>
      <c r="G25" s="21">
        <v>14000</v>
      </c>
    </row>
    <row r="26" spans="1:7" s="10" customFormat="1" x14ac:dyDescent="0.3">
      <c r="A26" s="10" t="s">
        <v>0</v>
      </c>
      <c r="B26" s="10" t="s">
        <v>1138</v>
      </c>
      <c r="C26" s="10">
        <v>1089684</v>
      </c>
      <c r="D26" s="10" t="s">
        <v>1140</v>
      </c>
      <c r="E26" s="10" t="s">
        <v>26</v>
      </c>
      <c r="F26" s="10" t="s">
        <v>68</v>
      </c>
      <c r="G26" s="21">
        <v>14000</v>
      </c>
    </row>
    <row r="27" spans="1:7" s="10" customFormat="1" x14ac:dyDescent="0.3">
      <c r="A27" s="10" t="s">
        <v>0</v>
      </c>
      <c r="B27" s="10" t="s">
        <v>1141</v>
      </c>
      <c r="C27" s="10">
        <v>1089769</v>
      </c>
      <c r="D27" s="10" t="s">
        <v>1142</v>
      </c>
      <c r="E27" s="10" t="s">
        <v>26</v>
      </c>
      <c r="F27" s="10" t="s">
        <v>1143</v>
      </c>
      <c r="G27" s="21">
        <v>29000</v>
      </c>
    </row>
    <row r="28" spans="1:7" s="10" customFormat="1" x14ac:dyDescent="0.3">
      <c r="A28" s="10" t="s">
        <v>0</v>
      </c>
      <c r="B28" s="10" t="s">
        <v>1144</v>
      </c>
      <c r="C28" s="10">
        <v>1089686</v>
      </c>
      <c r="D28" s="10" t="s">
        <v>1145</v>
      </c>
      <c r="E28" s="10" t="s">
        <v>34</v>
      </c>
      <c r="F28" s="10" t="s">
        <v>266</v>
      </c>
      <c r="G28" s="21">
        <v>18000</v>
      </c>
    </row>
    <row r="29" spans="1:7" s="10" customFormat="1" x14ac:dyDescent="0.3">
      <c r="A29" s="10" t="s">
        <v>0</v>
      </c>
      <c r="B29" s="10" t="s">
        <v>117</v>
      </c>
      <c r="C29" s="10">
        <v>1089695</v>
      </c>
      <c r="D29" s="10" t="s">
        <v>1146</v>
      </c>
      <c r="E29" s="10" t="s">
        <v>26</v>
      </c>
      <c r="F29" s="10" t="s">
        <v>71</v>
      </c>
      <c r="G29" s="21">
        <v>6500</v>
      </c>
    </row>
    <row r="30" spans="1:7" s="10" customFormat="1" x14ac:dyDescent="0.3">
      <c r="A30" s="10" t="s">
        <v>0</v>
      </c>
      <c r="B30" s="10" t="s">
        <v>1147</v>
      </c>
      <c r="C30" s="10">
        <v>1089772</v>
      </c>
      <c r="D30" s="10" t="s">
        <v>1148</v>
      </c>
      <c r="E30" s="10" t="s">
        <v>26</v>
      </c>
      <c r="F30" s="10" t="s">
        <v>621</v>
      </c>
      <c r="G30" s="21">
        <v>25000</v>
      </c>
    </row>
    <row r="31" spans="1:7" s="10" customFormat="1" x14ac:dyDescent="0.3">
      <c r="A31" s="10" t="s">
        <v>0</v>
      </c>
      <c r="B31" s="10" t="s">
        <v>80</v>
      </c>
      <c r="C31" s="10">
        <v>1089685</v>
      </c>
      <c r="D31" s="10" t="s">
        <v>1149</v>
      </c>
      <c r="E31" s="10" t="s">
        <v>26</v>
      </c>
      <c r="F31" s="10" t="s">
        <v>74</v>
      </c>
      <c r="G31" s="21">
        <v>20000</v>
      </c>
    </row>
    <row r="32" spans="1:7" s="10" customFormat="1" x14ac:dyDescent="0.3">
      <c r="A32" s="10" t="s">
        <v>0</v>
      </c>
      <c r="B32" s="10" t="s">
        <v>1150</v>
      </c>
      <c r="C32" s="10">
        <v>1089741</v>
      </c>
      <c r="D32" s="10" t="s">
        <v>1151</v>
      </c>
      <c r="E32" s="10" t="s">
        <v>26</v>
      </c>
      <c r="F32" s="10" t="s">
        <v>74</v>
      </c>
      <c r="G32" s="21">
        <v>20000</v>
      </c>
    </row>
    <row r="33" spans="1:7" s="10" customFormat="1" x14ac:dyDescent="0.3">
      <c r="A33" s="10" t="s">
        <v>0</v>
      </c>
      <c r="B33" s="10" t="s">
        <v>1152</v>
      </c>
      <c r="C33" s="10">
        <v>1089704</v>
      </c>
      <c r="D33" s="10" t="s">
        <v>1153</v>
      </c>
      <c r="E33" s="10" t="s">
        <v>26</v>
      </c>
      <c r="F33" s="10" t="s">
        <v>74</v>
      </c>
      <c r="G33" s="21">
        <v>20000</v>
      </c>
    </row>
    <row r="34" spans="1:7" s="10" customFormat="1" x14ac:dyDescent="0.3">
      <c r="A34" s="10" t="s">
        <v>0</v>
      </c>
      <c r="B34" s="10" t="s">
        <v>114</v>
      </c>
      <c r="C34" s="10">
        <v>1089720</v>
      </c>
      <c r="D34" s="10" t="s">
        <v>1154</v>
      </c>
      <c r="E34" s="10" t="s">
        <v>26</v>
      </c>
      <c r="F34" s="10" t="s">
        <v>353</v>
      </c>
      <c r="G34" s="21">
        <v>27000</v>
      </c>
    </row>
    <row r="35" spans="1:7" s="10" customFormat="1" x14ac:dyDescent="0.3">
      <c r="A35" s="10" t="s">
        <v>0</v>
      </c>
      <c r="B35" s="10" t="s">
        <v>114</v>
      </c>
      <c r="C35" s="10">
        <v>1089738</v>
      </c>
      <c r="D35" s="10" t="s">
        <v>1155</v>
      </c>
      <c r="E35" s="10" t="s">
        <v>160</v>
      </c>
      <c r="F35" s="10" t="s">
        <v>316</v>
      </c>
      <c r="G35" s="21">
        <v>18000</v>
      </c>
    </row>
    <row r="36" spans="1:7" s="10" customFormat="1" x14ac:dyDescent="0.3">
      <c r="A36" s="10" t="s">
        <v>0</v>
      </c>
      <c r="B36" s="10" t="s">
        <v>273</v>
      </c>
      <c r="C36" s="10">
        <v>1089690</v>
      </c>
      <c r="D36" s="10" t="s">
        <v>1156</v>
      </c>
      <c r="E36" s="10" t="s">
        <v>34</v>
      </c>
      <c r="F36" s="10" t="s">
        <v>39</v>
      </c>
      <c r="G36" s="21">
        <v>18000</v>
      </c>
    </row>
    <row r="37" spans="1:7" s="10" customFormat="1" x14ac:dyDescent="0.3">
      <c r="A37" s="10" t="s">
        <v>0</v>
      </c>
      <c r="B37" s="10" t="s">
        <v>580</v>
      </c>
      <c r="C37" s="10">
        <v>1089706</v>
      </c>
      <c r="D37" s="10" t="s">
        <v>1157</v>
      </c>
      <c r="E37" s="10" t="s">
        <v>26</v>
      </c>
      <c r="F37" s="10" t="s">
        <v>39</v>
      </c>
      <c r="G37" s="21">
        <v>5000</v>
      </c>
    </row>
    <row r="38" spans="1:7" s="10" customFormat="1" x14ac:dyDescent="0.3">
      <c r="A38" s="10" t="s">
        <v>0</v>
      </c>
      <c r="B38" s="10" t="s">
        <v>273</v>
      </c>
      <c r="C38" s="10">
        <v>1089680</v>
      </c>
      <c r="D38" s="10" t="s">
        <v>1158</v>
      </c>
      <c r="E38" s="10" t="s">
        <v>34</v>
      </c>
      <c r="F38" s="10" t="s">
        <v>84</v>
      </c>
      <c r="G38" s="21">
        <v>18000</v>
      </c>
    </row>
    <row r="39" spans="1:7" s="10" customFormat="1" x14ac:dyDescent="0.3">
      <c r="A39" s="10" t="s">
        <v>0</v>
      </c>
      <c r="B39" s="10" t="s">
        <v>1159</v>
      </c>
      <c r="C39" s="10">
        <v>1089710</v>
      </c>
      <c r="D39" s="10" t="s">
        <v>1160</v>
      </c>
      <c r="E39" s="10" t="s">
        <v>26</v>
      </c>
      <c r="F39" s="10" t="s">
        <v>84</v>
      </c>
      <c r="G39" s="21">
        <v>20000</v>
      </c>
    </row>
    <row r="40" spans="1:7" s="10" customFormat="1" x14ac:dyDescent="0.3">
      <c r="A40" s="10" t="s">
        <v>0</v>
      </c>
      <c r="B40" s="10" t="s">
        <v>1161</v>
      </c>
      <c r="C40" s="10">
        <v>1089732</v>
      </c>
      <c r="D40" s="10" t="s">
        <v>1162</v>
      </c>
      <c r="E40" s="10" t="s">
        <v>26</v>
      </c>
      <c r="F40" s="10" t="s">
        <v>84</v>
      </c>
      <c r="G40" s="21">
        <v>20000</v>
      </c>
    </row>
    <row r="41" spans="1:7" s="10" customFormat="1" x14ac:dyDescent="0.3">
      <c r="A41" s="10" t="s">
        <v>0</v>
      </c>
      <c r="B41" s="10" t="s">
        <v>1163</v>
      </c>
      <c r="C41" s="10">
        <v>1089714</v>
      </c>
      <c r="D41" s="10" t="s">
        <v>1164</v>
      </c>
      <c r="E41" s="10" t="s">
        <v>64</v>
      </c>
      <c r="F41" s="10" t="s">
        <v>84</v>
      </c>
      <c r="G41" s="21">
        <v>18000</v>
      </c>
    </row>
    <row r="42" spans="1:7" s="10" customFormat="1" x14ac:dyDescent="0.3">
      <c r="A42" s="10" t="s">
        <v>0</v>
      </c>
      <c r="B42" s="10" t="s">
        <v>80</v>
      </c>
      <c r="C42" s="10">
        <v>1089735</v>
      </c>
      <c r="D42" s="10" t="s">
        <v>1165</v>
      </c>
      <c r="E42" s="10" t="s">
        <v>198</v>
      </c>
      <c r="F42" s="10" t="s">
        <v>280</v>
      </c>
      <c r="G42" s="21">
        <v>42000</v>
      </c>
    </row>
    <row r="43" spans="1:7" s="10" customFormat="1" x14ac:dyDescent="0.3">
      <c r="A43" s="10" t="s">
        <v>0</v>
      </c>
      <c r="B43" s="10" t="s">
        <v>273</v>
      </c>
      <c r="C43" s="10">
        <v>1089680</v>
      </c>
      <c r="D43" s="10" t="s">
        <v>1158</v>
      </c>
      <c r="E43" s="10" t="s">
        <v>34</v>
      </c>
      <c r="F43" s="10" t="s">
        <v>793</v>
      </c>
      <c r="G43" s="21">
        <v>18000</v>
      </c>
    </row>
    <row r="44" spans="1:7" s="10" customFormat="1" x14ac:dyDescent="0.3">
      <c r="A44" s="10" t="s">
        <v>0</v>
      </c>
      <c r="B44" s="10" t="s">
        <v>273</v>
      </c>
      <c r="C44" s="10">
        <v>1089690</v>
      </c>
      <c r="D44" s="10" t="s">
        <v>1156</v>
      </c>
      <c r="E44" s="10" t="s">
        <v>34</v>
      </c>
      <c r="F44" s="10" t="s">
        <v>199</v>
      </c>
      <c r="G44" s="21">
        <v>18000</v>
      </c>
    </row>
    <row r="45" spans="1:7" s="10" customFormat="1" x14ac:dyDescent="0.3">
      <c r="A45" s="10" t="s">
        <v>0</v>
      </c>
      <c r="B45" s="10" t="s">
        <v>1166</v>
      </c>
      <c r="C45" s="10">
        <v>1089677</v>
      </c>
      <c r="D45" s="10" t="s">
        <v>1167</v>
      </c>
      <c r="E45" s="10" t="s">
        <v>60</v>
      </c>
      <c r="F45" s="10" t="s">
        <v>104</v>
      </c>
      <c r="G45" s="21">
        <v>3000</v>
      </c>
    </row>
    <row r="46" spans="1:7" s="10" customFormat="1" x14ac:dyDescent="0.3">
      <c r="A46" s="10" t="s">
        <v>0</v>
      </c>
      <c r="B46" s="10" t="s">
        <v>271</v>
      </c>
      <c r="C46" s="10">
        <v>1089734</v>
      </c>
      <c r="D46" s="10" t="s">
        <v>1125</v>
      </c>
      <c r="E46" s="10" t="s">
        <v>305</v>
      </c>
      <c r="F46" s="10" t="s">
        <v>104</v>
      </c>
      <c r="G46" s="21">
        <v>4000</v>
      </c>
    </row>
    <row r="47" spans="1:7" s="10" customFormat="1" x14ac:dyDescent="0.3">
      <c r="A47" s="10" t="s">
        <v>0</v>
      </c>
      <c r="B47" s="10" t="s">
        <v>271</v>
      </c>
      <c r="C47" s="10">
        <v>1089753</v>
      </c>
      <c r="D47" s="10" t="s">
        <v>1168</v>
      </c>
      <c r="E47" s="10" t="s">
        <v>26</v>
      </c>
      <c r="F47" s="10" t="s">
        <v>104</v>
      </c>
      <c r="G47" s="21">
        <v>3000</v>
      </c>
    </row>
    <row r="48" spans="1:7" s="10" customFormat="1" x14ac:dyDescent="0.3">
      <c r="A48" s="10" t="s">
        <v>0</v>
      </c>
      <c r="B48" s="10" t="s">
        <v>527</v>
      </c>
      <c r="C48" s="10">
        <v>1089721</v>
      </c>
      <c r="D48" s="10" t="s">
        <v>1169</v>
      </c>
      <c r="E48" s="10" t="s">
        <v>26</v>
      </c>
      <c r="F48" s="10" t="s">
        <v>104</v>
      </c>
      <c r="G48" s="21">
        <v>3000</v>
      </c>
    </row>
    <row r="49" spans="1:7" s="10" customFormat="1" x14ac:dyDescent="0.3">
      <c r="A49" s="10" t="s">
        <v>0</v>
      </c>
      <c r="B49" s="10" t="s">
        <v>271</v>
      </c>
      <c r="C49" s="10">
        <v>1089739</v>
      </c>
      <c r="D49" s="10" t="s">
        <v>1126</v>
      </c>
      <c r="E49" s="10" t="s">
        <v>26</v>
      </c>
      <c r="F49" s="10" t="s">
        <v>104</v>
      </c>
      <c r="G49" s="21">
        <v>3000</v>
      </c>
    </row>
    <row r="50" spans="1:7" s="10" customFormat="1" x14ac:dyDescent="0.3">
      <c r="A50" s="10" t="s">
        <v>0</v>
      </c>
      <c r="B50" s="10" t="s">
        <v>640</v>
      </c>
      <c r="C50" s="10">
        <v>1089689</v>
      </c>
      <c r="D50" s="10" t="s">
        <v>1170</v>
      </c>
      <c r="E50" s="10" t="s">
        <v>60</v>
      </c>
      <c r="F50" s="10" t="s">
        <v>337</v>
      </c>
      <c r="G50" s="21">
        <v>4000</v>
      </c>
    </row>
    <row r="51" spans="1:7" s="10" customFormat="1" x14ac:dyDescent="0.3">
      <c r="A51" s="10" t="s">
        <v>0</v>
      </c>
      <c r="B51" s="10" t="s">
        <v>1171</v>
      </c>
      <c r="C51" s="10">
        <v>1089749</v>
      </c>
      <c r="D51" s="10" t="s">
        <v>1172</v>
      </c>
      <c r="E51" s="10" t="s">
        <v>26</v>
      </c>
      <c r="F51" s="10" t="s">
        <v>337</v>
      </c>
      <c r="G51" s="21">
        <v>4000</v>
      </c>
    </row>
    <row r="52" spans="1:7" s="10" customFormat="1" x14ac:dyDescent="0.3">
      <c r="A52" s="10" t="s">
        <v>0</v>
      </c>
      <c r="B52" s="10" t="s">
        <v>1173</v>
      </c>
      <c r="C52" s="10">
        <v>1089691</v>
      </c>
      <c r="D52" s="10" t="s">
        <v>1174</v>
      </c>
      <c r="E52" s="10" t="s">
        <v>26</v>
      </c>
      <c r="F52" s="10" t="s">
        <v>337</v>
      </c>
      <c r="G52" s="21">
        <v>4000</v>
      </c>
    </row>
    <row r="53" spans="1:7" s="10" customFormat="1" x14ac:dyDescent="0.3">
      <c r="A53" s="10" t="s">
        <v>0</v>
      </c>
      <c r="B53" s="10" t="s">
        <v>1175</v>
      </c>
      <c r="C53" s="10">
        <v>1089699</v>
      </c>
      <c r="D53" s="10" t="s">
        <v>1176</v>
      </c>
      <c r="E53" s="10" t="s">
        <v>26</v>
      </c>
      <c r="F53" s="10" t="s">
        <v>837</v>
      </c>
      <c r="G53" s="21">
        <v>8000</v>
      </c>
    </row>
    <row r="54" spans="1:7" s="10" customFormat="1" x14ac:dyDescent="0.3">
      <c r="A54" s="10" t="s">
        <v>0</v>
      </c>
      <c r="B54" s="10" t="s">
        <v>135</v>
      </c>
      <c r="C54" s="10">
        <v>1089755</v>
      </c>
      <c r="D54" s="10" t="s">
        <v>1177</v>
      </c>
      <c r="E54" s="10" t="s">
        <v>26</v>
      </c>
      <c r="F54" s="10" t="s">
        <v>113</v>
      </c>
      <c r="G54" s="21">
        <v>4000</v>
      </c>
    </row>
    <row r="55" spans="1:7" s="10" customFormat="1" x14ac:dyDescent="0.3">
      <c r="A55" s="10" t="s">
        <v>0</v>
      </c>
      <c r="B55" s="10" t="s">
        <v>1134</v>
      </c>
      <c r="C55" s="10">
        <v>1089700</v>
      </c>
      <c r="D55" s="10" t="s">
        <v>1178</v>
      </c>
      <c r="E55" s="10" t="s">
        <v>26</v>
      </c>
      <c r="F55" s="10" t="s">
        <v>116</v>
      </c>
      <c r="G55" s="21">
        <v>5000</v>
      </c>
    </row>
    <row r="56" spans="1:7" s="10" customFormat="1" x14ac:dyDescent="0.3">
      <c r="A56" s="10" t="s">
        <v>0</v>
      </c>
      <c r="B56" s="10" t="s">
        <v>117</v>
      </c>
      <c r="C56" s="10">
        <v>1089771</v>
      </c>
      <c r="D56" s="10" t="s">
        <v>1179</v>
      </c>
      <c r="E56" s="10" t="s">
        <v>26</v>
      </c>
      <c r="F56" s="10" t="s">
        <v>116</v>
      </c>
      <c r="G56" s="21">
        <v>5000</v>
      </c>
    </row>
    <row r="57" spans="1:7" s="10" customFormat="1" x14ac:dyDescent="0.3">
      <c r="A57" s="10" t="s">
        <v>0</v>
      </c>
      <c r="B57" s="10" t="s">
        <v>271</v>
      </c>
      <c r="C57" s="10">
        <v>1089731</v>
      </c>
      <c r="D57" s="10" t="s">
        <v>1127</v>
      </c>
      <c r="E57" s="10" t="s">
        <v>26</v>
      </c>
      <c r="F57" s="10" t="s">
        <v>119</v>
      </c>
      <c r="G57" s="21">
        <v>3000</v>
      </c>
    </row>
    <row r="58" spans="1:7" s="10" customFormat="1" x14ac:dyDescent="0.3">
      <c r="A58" s="10" t="s">
        <v>0</v>
      </c>
      <c r="B58" s="10" t="s">
        <v>694</v>
      </c>
      <c r="C58" s="10">
        <v>1089707</v>
      </c>
      <c r="D58" s="10" t="s">
        <v>1180</v>
      </c>
      <c r="E58" s="10" t="s">
        <v>26</v>
      </c>
      <c r="F58" s="10" t="s">
        <v>119</v>
      </c>
      <c r="G58" s="21">
        <v>3000</v>
      </c>
    </row>
    <row r="59" spans="1:7" s="10" customFormat="1" x14ac:dyDescent="0.3">
      <c r="A59" s="10" t="s">
        <v>0</v>
      </c>
      <c r="B59" s="10" t="s">
        <v>127</v>
      </c>
      <c r="C59" s="10">
        <v>1089729</v>
      </c>
      <c r="D59" s="10" t="s">
        <v>1181</v>
      </c>
      <c r="E59" s="10" t="s">
        <v>160</v>
      </c>
      <c r="F59" s="10" t="s">
        <v>124</v>
      </c>
      <c r="G59" s="21">
        <v>4000</v>
      </c>
    </row>
    <row r="60" spans="1:7" s="10" customFormat="1" x14ac:dyDescent="0.3">
      <c r="A60" s="10" t="s">
        <v>0</v>
      </c>
      <c r="B60" s="10" t="s">
        <v>125</v>
      </c>
      <c r="C60" s="10">
        <v>1089709</v>
      </c>
      <c r="D60" s="10" t="s">
        <v>1182</v>
      </c>
      <c r="E60" s="10" t="s">
        <v>160</v>
      </c>
      <c r="F60" s="10" t="s">
        <v>124</v>
      </c>
      <c r="G60" s="21">
        <v>4000</v>
      </c>
    </row>
    <row r="61" spans="1:7" s="10" customFormat="1" x14ac:dyDescent="0.3">
      <c r="A61" s="10" t="s">
        <v>0</v>
      </c>
      <c r="B61" s="10" t="s">
        <v>117</v>
      </c>
      <c r="C61" s="10">
        <v>1089681</v>
      </c>
      <c r="D61" s="10" t="s">
        <v>1183</v>
      </c>
      <c r="E61" s="10" t="s">
        <v>26</v>
      </c>
      <c r="F61" s="10" t="s">
        <v>124</v>
      </c>
      <c r="G61" s="21">
        <v>3000</v>
      </c>
    </row>
    <row r="62" spans="1:7" s="10" customFormat="1" x14ac:dyDescent="0.3">
      <c r="A62" s="10" t="s">
        <v>0</v>
      </c>
      <c r="B62" s="10" t="s">
        <v>130</v>
      </c>
      <c r="C62" s="10">
        <v>1089687</v>
      </c>
      <c r="D62" s="10" t="s">
        <v>1184</v>
      </c>
      <c r="E62" s="10" t="s">
        <v>44</v>
      </c>
      <c r="F62" s="10" t="s">
        <v>129</v>
      </c>
      <c r="G62" s="21">
        <v>4000</v>
      </c>
    </row>
    <row r="63" spans="1:7" s="10" customFormat="1" x14ac:dyDescent="0.3">
      <c r="A63" s="10" t="s">
        <v>0</v>
      </c>
      <c r="B63" s="10" t="s">
        <v>1134</v>
      </c>
      <c r="C63" s="10">
        <v>1089700</v>
      </c>
      <c r="D63" s="10" t="s">
        <v>1178</v>
      </c>
      <c r="E63" s="10" t="s">
        <v>26</v>
      </c>
      <c r="F63" s="10" t="s">
        <v>207</v>
      </c>
      <c r="G63" s="21">
        <v>3000</v>
      </c>
    </row>
    <row r="64" spans="1:7" s="10" customFormat="1" x14ac:dyDescent="0.3">
      <c r="A64" s="10" t="s">
        <v>0</v>
      </c>
      <c r="B64" s="10" t="s">
        <v>135</v>
      </c>
      <c r="C64" s="10">
        <v>1089750</v>
      </c>
      <c r="D64" s="10" t="s">
        <v>1185</v>
      </c>
      <c r="E64" s="10" t="s">
        <v>26</v>
      </c>
      <c r="F64" s="10" t="s">
        <v>373</v>
      </c>
      <c r="G64" s="21">
        <v>5000</v>
      </c>
    </row>
    <row r="65" spans="1:7" s="10" customFormat="1" x14ac:dyDescent="0.3">
      <c r="A65" s="10" t="s">
        <v>0</v>
      </c>
      <c r="B65" s="10" t="s">
        <v>135</v>
      </c>
      <c r="C65" s="10">
        <v>1089750</v>
      </c>
      <c r="D65" s="10" t="s">
        <v>1185</v>
      </c>
      <c r="E65" s="10" t="s">
        <v>26</v>
      </c>
      <c r="F65" s="10" t="s">
        <v>551</v>
      </c>
      <c r="G65" s="21">
        <v>5000</v>
      </c>
    </row>
    <row r="66" spans="1:7" s="10" customFormat="1" x14ac:dyDescent="0.3">
      <c r="A66" s="10" t="s">
        <v>0</v>
      </c>
      <c r="B66" s="10" t="s">
        <v>135</v>
      </c>
      <c r="C66" s="10">
        <v>1089723</v>
      </c>
      <c r="D66" s="10" t="s">
        <v>1186</v>
      </c>
      <c r="E66" s="10" t="s">
        <v>26</v>
      </c>
      <c r="F66" s="10" t="s">
        <v>701</v>
      </c>
      <c r="G66" s="21">
        <v>5000</v>
      </c>
    </row>
    <row r="67" spans="1:7" s="10" customFormat="1" x14ac:dyDescent="0.3">
      <c r="A67" s="10" t="s">
        <v>0</v>
      </c>
      <c r="B67" s="10" t="s">
        <v>135</v>
      </c>
      <c r="C67" s="10">
        <v>1089723</v>
      </c>
      <c r="D67" s="10" t="s">
        <v>1186</v>
      </c>
      <c r="E67" s="10" t="s">
        <v>26</v>
      </c>
      <c r="F67" s="10" t="s">
        <v>141</v>
      </c>
      <c r="G67" s="21">
        <v>5000</v>
      </c>
    </row>
    <row r="68" spans="1:7" s="10" customFormat="1" x14ac:dyDescent="0.3">
      <c r="A68" s="10" t="s">
        <v>0</v>
      </c>
      <c r="B68" s="10" t="s">
        <v>135</v>
      </c>
      <c r="C68" s="10">
        <v>1089723</v>
      </c>
      <c r="D68" s="10" t="s">
        <v>1186</v>
      </c>
      <c r="E68" s="10" t="s">
        <v>26</v>
      </c>
      <c r="F68" s="10" t="s">
        <v>327</v>
      </c>
      <c r="G68" s="21">
        <v>5000</v>
      </c>
    </row>
    <row r="69" spans="1:7" s="10" customFormat="1" x14ac:dyDescent="0.3">
      <c r="A69" s="10" t="s">
        <v>0</v>
      </c>
      <c r="B69" s="10" t="s">
        <v>135</v>
      </c>
      <c r="C69" s="10">
        <v>1089723</v>
      </c>
      <c r="D69" s="10" t="s">
        <v>1186</v>
      </c>
      <c r="E69" s="10" t="s">
        <v>26</v>
      </c>
      <c r="F69" s="10" t="s">
        <v>708</v>
      </c>
      <c r="G69" s="21">
        <v>3500</v>
      </c>
    </row>
    <row r="70" spans="1:7" s="10" customFormat="1" x14ac:dyDescent="0.3">
      <c r="A70" s="10" t="s">
        <v>0</v>
      </c>
      <c r="B70" s="10" t="s">
        <v>135</v>
      </c>
      <c r="C70" s="10">
        <v>1089745</v>
      </c>
      <c r="D70" s="10" t="s">
        <v>1187</v>
      </c>
      <c r="E70" s="10" t="s">
        <v>26</v>
      </c>
      <c r="F70" s="10" t="s">
        <v>555</v>
      </c>
      <c r="G70" s="21">
        <v>2500</v>
      </c>
    </row>
    <row r="71" spans="1:7" s="10" customFormat="1" x14ac:dyDescent="0.3">
      <c r="A71" s="10" t="s">
        <v>0</v>
      </c>
      <c r="B71" s="10" t="s">
        <v>1188</v>
      </c>
      <c r="C71" s="10">
        <v>1089719</v>
      </c>
      <c r="D71" s="10" t="s">
        <v>1189</v>
      </c>
      <c r="E71" s="10" t="s">
        <v>26</v>
      </c>
      <c r="F71" s="10" t="s">
        <v>142</v>
      </c>
      <c r="G71" s="21">
        <v>2000</v>
      </c>
    </row>
    <row r="72" spans="1:7" s="10" customFormat="1" x14ac:dyDescent="0.3">
      <c r="A72" s="10" t="s">
        <v>0</v>
      </c>
      <c r="B72" s="10" t="s">
        <v>77</v>
      </c>
      <c r="C72" s="10">
        <v>1089678</v>
      </c>
      <c r="D72" s="10" t="s">
        <v>1190</v>
      </c>
      <c r="E72" s="10" t="s">
        <v>26</v>
      </c>
      <c r="F72" s="10" t="s">
        <v>142</v>
      </c>
      <c r="G72" s="21">
        <v>2000</v>
      </c>
    </row>
    <row r="73" spans="1:7" s="10" customFormat="1" x14ac:dyDescent="0.3">
      <c r="A73" s="10" t="s">
        <v>0</v>
      </c>
      <c r="B73" s="10" t="s">
        <v>1191</v>
      </c>
      <c r="C73" s="10">
        <v>1089722</v>
      </c>
      <c r="D73" s="10" t="s">
        <v>1192</v>
      </c>
      <c r="E73" s="10" t="s">
        <v>34</v>
      </c>
      <c r="F73" s="10" t="s">
        <v>222</v>
      </c>
      <c r="G73" s="21">
        <v>1800</v>
      </c>
    </row>
    <row r="74" spans="1:7" s="10" customFormat="1" x14ac:dyDescent="0.3">
      <c r="A74" s="10" t="s">
        <v>0</v>
      </c>
      <c r="B74" s="10" t="s">
        <v>135</v>
      </c>
      <c r="C74" s="10">
        <v>1089703</v>
      </c>
      <c r="D74" s="10" t="s">
        <v>1193</v>
      </c>
      <c r="E74" s="10" t="s">
        <v>26</v>
      </c>
      <c r="F74" s="10" t="s">
        <v>231</v>
      </c>
      <c r="G74" s="21">
        <v>2500</v>
      </c>
    </row>
    <row r="75" spans="1:7" s="10" customFormat="1" x14ac:dyDescent="0.3">
      <c r="A75" s="10" t="s">
        <v>0</v>
      </c>
      <c r="B75" s="10" t="s">
        <v>135</v>
      </c>
      <c r="C75" s="10">
        <v>1089746</v>
      </c>
      <c r="D75" s="10" t="s">
        <v>1194</v>
      </c>
      <c r="E75" s="10" t="s">
        <v>26</v>
      </c>
      <c r="F75" s="10" t="s">
        <v>231</v>
      </c>
      <c r="G75" s="21">
        <v>2500</v>
      </c>
    </row>
    <row r="76" spans="1:7" s="10" customFormat="1" x14ac:dyDescent="0.3">
      <c r="A76" s="10" t="s">
        <v>0</v>
      </c>
      <c r="B76" s="10" t="s">
        <v>135</v>
      </c>
      <c r="C76" s="10">
        <v>1089745</v>
      </c>
      <c r="D76" s="10" t="s">
        <v>1187</v>
      </c>
      <c r="E76" s="10" t="s">
        <v>26</v>
      </c>
      <c r="F76" s="10" t="s">
        <v>231</v>
      </c>
      <c r="G76" s="21">
        <v>2500</v>
      </c>
    </row>
    <row r="77" spans="1:7" s="10" customFormat="1" x14ac:dyDescent="0.3">
      <c r="A77" s="10" t="s">
        <v>0</v>
      </c>
      <c r="B77" s="10" t="s">
        <v>135</v>
      </c>
      <c r="C77" s="10">
        <v>1089746</v>
      </c>
      <c r="D77" s="10" t="s">
        <v>1194</v>
      </c>
      <c r="E77" s="10" t="s">
        <v>26</v>
      </c>
      <c r="F77" s="10" t="s">
        <v>233</v>
      </c>
      <c r="G77" s="21">
        <v>2500</v>
      </c>
    </row>
    <row r="78" spans="1:7" s="10" customFormat="1" x14ac:dyDescent="0.3">
      <c r="A78" s="10" t="s">
        <v>0</v>
      </c>
      <c r="B78" s="10" t="s">
        <v>117</v>
      </c>
      <c r="C78" s="10">
        <v>1089742</v>
      </c>
      <c r="D78" s="10" t="s">
        <v>1195</v>
      </c>
      <c r="E78" s="10" t="s">
        <v>26</v>
      </c>
      <c r="F78" s="10" t="s">
        <v>237</v>
      </c>
      <c r="G78" s="21">
        <v>2500</v>
      </c>
    </row>
    <row r="79" spans="1:7" s="23" customFormat="1" x14ac:dyDescent="0.3">
      <c r="A79" s="10" t="s">
        <v>0</v>
      </c>
      <c r="B79" s="10" t="s">
        <v>1196</v>
      </c>
      <c r="C79" s="10">
        <v>1089697</v>
      </c>
      <c r="D79" s="10" t="s">
        <v>1197</v>
      </c>
      <c r="E79" s="10" t="s">
        <v>26</v>
      </c>
      <c r="F79" s="10" t="s">
        <v>74</v>
      </c>
      <c r="G79" s="21">
        <v>20000</v>
      </c>
    </row>
    <row r="80" spans="1:7" s="23" customFormat="1" x14ac:dyDescent="0.3">
      <c r="A80" s="23" t="s">
        <v>9</v>
      </c>
      <c r="B80" s="23" t="s">
        <v>1198</v>
      </c>
      <c r="C80" s="23">
        <v>1089674</v>
      </c>
      <c r="D80" s="23" t="s">
        <v>1199</v>
      </c>
      <c r="E80" s="23" t="s">
        <v>79</v>
      </c>
      <c r="F80" s="23" t="s">
        <v>566</v>
      </c>
      <c r="G80" s="24">
        <v>10000</v>
      </c>
    </row>
    <row r="81" spans="1:7" s="23" customFormat="1" x14ac:dyDescent="0.3">
      <c r="A81" s="23" t="s">
        <v>9</v>
      </c>
      <c r="B81" s="23" t="s">
        <v>722</v>
      </c>
      <c r="C81" s="23">
        <v>1089733</v>
      </c>
      <c r="D81" s="23" t="s">
        <v>1200</v>
      </c>
      <c r="E81" s="23" t="s">
        <v>26</v>
      </c>
      <c r="F81" s="23" t="s">
        <v>65</v>
      </c>
      <c r="G81" s="24">
        <v>12000</v>
      </c>
    </row>
    <row r="82" spans="1:7" s="23" customFormat="1" x14ac:dyDescent="0.3">
      <c r="A82" s="23" t="s">
        <v>9</v>
      </c>
      <c r="B82" s="23" t="s">
        <v>1201</v>
      </c>
      <c r="C82" s="23">
        <v>1089737</v>
      </c>
      <c r="D82" s="23" t="s">
        <v>1202</v>
      </c>
      <c r="E82" s="23" t="s">
        <v>26</v>
      </c>
      <c r="F82" s="23" t="s">
        <v>71</v>
      </c>
      <c r="G82" s="24">
        <v>6500</v>
      </c>
    </row>
    <row r="83" spans="1:7" s="23" customFormat="1" x14ac:dyDescent="0.3">
      <c r="A83" s="23" t="s">
        <v>9</v>
      </c>
      <c r="B83" s="23" t="s">
        <v>1203</v>
      </c>
      <c r="C83" s="23">
        <v>1089716</v>
      </c>
      <c r="D83" s="23" t="s">
        <v>1204</v>
      </c>
      <c r="E83" s="23" t="s">
        <v>160</v>
      </c>
      <c r="F83" s="23" t="s">
        <v>394</v>
      </c>
      <c r="G83" s="24">
        <v>35000</v>
      </c>
    </row>
    <row r="84" spans="1:7" s="23" customFormat="1" x14ac:dyDescent="0.3">
      <c r="A84" s="23" t="s">
        <v>9</v>
      </c>
      <c r="B84" s="23" t="s">
        <v>580</v>
      </c>
      <c r="C84" s="23">
        <v>1089728</v>
      </c>
      <c r="D84" s="23" t="s">
        <v>1205</v>
      </c>
      <c r="E84" s="23" t="s">
        <v>44</v>
      </c>
      <c r="F84" s="23" t="s">
        <v>394</v>
      </c>
      <c r="G84" s="24">
        <v>40000</v>
      </c>
    </row>
    <row r="85" spans="1:7" s="23" customFormat="1" x14ac:dyDescent="0.3">
      <c r="A85" s="23" t="s">
        <v>9</v>
      </c>
      <c r="B85" s="23" t="s">
        <v>1206</v>
      </c>
      <c r="C85" s="23">
        <v>1089736</v>
      </c>
      <c r="D85" s="23" t="s">
        <v>1207</v>
      </c>
      <c r="E85" s="23" t="s">
        <v>26</v>
      </c>
      <c r="F85" s="23" t="s">
        <v>195</v>
      </c>
      <c r="G85" s="24">
        <v>20000</v>
      </c>
    </row>
    <row r="86" spans="1:7" s="23" customFormat="1" x14ac:dyDescent="0.3">
      <c r="A86" s="23" t="s">
        <v>9</v>
      </c>
      <c r="B86" s="23" t="s">
        <v>590</v>
      </c>
      <c r="C86" s="23">
        <v>1089683</v>
      </c>
      <c r="D86" s="23" t="s">
        <v>1208</v>
      </c>
      <c r="E86" s="23" t="s">
        <v>482</v>
      </c>
      <c r="F86" s="23" t="s">
        <v>195</v>
      </c>
      <c r="G86" s="24">
        <v>20000</v>
      </c>
    </row>
    <row r="87" spans="1:7" s="23" customFormat="1" x14ac:dyDescent="0.3">
      <c r="A87" s="23" t="s">
        <v>9</v>
      </c>
      <c r="B87" s="23" t="s">
        <v>1209</v>
      </c>
      <c r="C87" s="23">
        <v>1089711</v>
      </c>
      <c r="D87" s="23" t="s">
        <v>1210</v>
      </c>
      <c r="E87" s="23" t="s">
        <v>26</v>
      </c>
      <c r="F87" s="23" t="s">
        <v>116</v>
      </c>
      <c r="G87" s="24">
        <v>5000</v>
      </c>
    </row>
    <row r="88" spans="1:7" s="23" customFormat="1" x14ac:dyDescent="0.3">
      <c r="A88" s="23" t="s">
        <v>9</v>
      </c>
      <c r="B88" s="23" t="s">
        <v>174</v>
      </c>
      <c r="C88" s="23">
        <v>1089726</v>
      </c>
      <c r="D88" s="23" t="s">
        <v>1211</v>
      </c>
      <c r="E88" s="23" t="s">
        <v>411</v>
      </c>
      <c r="F88" s="23" t="s">
        <v>285</v>
      </c>
      <c r="G88" s="24">
        <v>4000</v>
      </c>
    </row>
    <row r="89" spans="1:7" s="23" customFormat="1" x14ac:dyDescent="0.3">
      <c r="A89" s="23" t="s">
        <v>9</v>
      </c>
      <c r="B89" s="23" t="s">
        <v>1212</v>
      </c>
      <c r="C89" s="23">
        <v>1089715</v>
      </c>
      <c r="D89" s="23" t="s">
        <v>1213</v>
      </c>
      <c r="E89" s="23" t="s">
        <v>26</v>
      </c>
      <c r="F89" s="23" t="s">
        <v>129</v>
      </c>
      <c r="G89" s="24">
        <v>3000</v>
      </c>
    </row>
    <row r="90" spans="1:7" s="23" customFormat="1" x14ac:dyDescent="0.3">
      <c r="A90" s="23" t="s">
        <v>9</v>
      </c>
      <c r="B90" s="23" t="s">
        <v>1214</v>
      </c>
      <c r="C90" s="23">
        <v>1089713</v>
      </c>
      <c r="D90" s="23" t="s">
        <v>165</v>
      </c>
      <c r="E90" s="23" t="s">
        <v>64</v>
      </c>
      <c r="F90" s="23" t="s">
        <v>141</v>
      </c>
      <c r="G90" s="24">
        <v>2200</v>
      </c>
    </row>
    <row r="91" spans="1:7" s="23" customFormat="1" x14ac:dyDescent="0.3">
      <c r="A91" s="23" t="s">
        <v>9</v>
      </c>
      <c r="B91" s="23" t="s">
        <v>1214</v>
      </c>
      <c r="C91" s="23">
        <v>1089713</v>
      </c>
      <c r="D91" s="23" t="s">
        <v>165</v>
      </c>
      <c r="E91" s="23" t="s">
        <v>64</v>
      </c>
      <c r="F91" s="23" t="s">
        <v>555</v>
      </c>
      <c r="G91" s="24">
        <v>2200</v>
      </c>
    </row>
    <row r="92" spans="1:7" s="23" customFormat="1" x14ac:dyDescent="0.3">
      <c r="A92" s="23" t="s">
        <v>9</v>
      </c>
      <c r="B92" s="23" t="s">
        <v>590</v>
      </c>
      <c r="C92" s="23">
        <v>1089683</v>
      </c>
      <c r="D92" s="23" t="s">
        <v>1208</v>
      </c>
      <c r="E92" s="23" t="s">
        <v>482</v>
      </c>
      <c r="F92" s="23" t="s">
        <v>142</v>
      </c>
      <c r="G92" s="24">
        <v>2500</v>
      </c>
    </row>
    <row r="93" spans="1:7" s="23" customFormat="1" x14ac:dyDescent="0.3">
      <c r="A93" s="23" t="s">
        <v>9</v>
      </c>
      <c r="B93" s="23" t="s">
        <v>1214</v>
      </c>
      <c r="C93" s="23">
        <v>1089713</v>
      </c>
      <c r="D93" s="23" t="s">
        <v>165</v>
      </c>
      <c r="E93" s="23" t="s">
        <v>64</v>
      </c>
      <c r="F93" s="23" t="s">
        <v>233</v>
      </c>
      <c r="G93" s="24">
        <v>2500</v>
      </c>
    </row>
    <row r="94" spans="1:7" s="23" customFormat="1" x14ac:dyDescent="0.3">
      <c r="A94" s="23" t="s">
        <v>9</v>
      </c>
      <c r="B94" s="23" t="s">
        <v>1215</v>
      </c>
      <c r="C94" s="23">
        <v>1089768</v>
      </c>
      <c r="D94" s="23" t="s">
        <v>1216</v>
      </c>
      <c r="E94" s="23" t="s">
        <v>26</v>
      </c>
      <c r="F94" s="23" t="s">
        <v>1217</v>
      </c>
      <c r="G94" s="24">
        <v>2500</v>
      </c>
    </row>
    <row r="95" spans="1:7" s="23" customFormat="1" x14ac:dyDescent="0.3">
      <c r="A95" s="23" t="s">
        <v>9</v>
      </c>
      <c r="B95" s="23" t="s">
        <v>1214</v>
      </c>
      <c r="C95" s="23">
        <v>1089713</v>
      </c>
      <c r="D95" s="23" t="s">
        <v>165</v>
      </c>
      <c r="E95" s="23" t="s">
        <v>64</v>
      </c>
      <c r="F95" s="23" t="s">
        <v>237</v>
      </c>
      <c r="G95" s="24">
        <v>1800</v>
      </c>
    </row>
    <row r="96" spans="1:7" x14ac:dyDescent="0.3">
      <c r="A96" s="23" t="s">
        <v>9</v>
      </c>
      <c r="B96" s="23" t="s">
        <v>590</v>
      </c>
      <c r="C96" s="23">
        <v>1089683</v>
      </c>
      <c r="D96" s="23" t="s">
        <v>1208</v>
      </c>
      <c r="E96" s="23" t="s">
        <v>482</v>
      </c>
      <c r="F96" s="23" t="s">
        <v>237</v>
      </c>
      <c r="G96" s="24">
        <v>2500</v>
      </c>
    </row>
    <row r="97" spans="1:7" x14ac:dyDescent="0.3">
      <c r="A97" s="23" t="s">
        <v>9</v>
      </c>
      <c r="B97" s="23" t="s">
        <v>1218</v>
      </c>
      <c r="C97" s="23">
        <v>1089744</v>
      </c>
      <c r="D97" s="23" t="s">
        <v>1219</v>
      </c>
      <c r="E97" s="23" t="s">
        <v>26</v>
      </c>
      <c r="F97" s="23" t="s">
        <v>914</v>
      </c>
      <c r="G97" s="24">
        <v>5000</v>
      </c>
    </row>
    <row r="98" spans="1:7" x14ac:dyDescent="0.3">
      <c r="A98" t="s">
        <v>185</v>
      </c>
      <c r="B98" t="s">
        <v>1220</v>
      </c>
      <c r="C98">
        <v>1089730</v>
      </c>
      <c r="D98" t="s">
        <v>1221</v>
      </c>
      <c r="E98" t="s">
        <v>26</v>
      </c>
      <c r="F98" t="s">
        <v>84</v>
      </c>
      <c r="G98" s="16">
        <v>20000</v>
      </c>
    </row>
    <row r="99" spans="1:7" x14ac:dyDescent="0.3">
      <c r="A99" t="s">
        <v>185</v>
      </c>
      <c r="B99" t="s">
        <v>186</v>
      </c>
      <c r="C99">
        <v>1089751</v>
      </c>
      <c r="D99" t="s">
        <v>1222</v>
      </c>
      <c r="E99" t="s">
        <v>198</v>
      </c>
      <c r="F99" t="s">
        <v>195</v>
      </c>
      <c r="G99" s="16">
        <v>26000</v>
      </c>
    </row>
    <row r="100" spans="1:7" x14ac:dyDescent="0.3">
      <c r="A100" t="s">
        <v>185</v>
      </c>
      <c r="B100" t="s">
        <v>189</v>
      </c>
      <c r="C100">
        <v>1089748</v>
      </c>
      <c r="D100" t="s">
        <v>1223</v>
      </c>
      <c r="E100" t="s">
        <v>26</v>
      </c>
      <c r="F100" t="s">
        <v>116</v>
      </c>
      <c r="G100" s="16">
        <v>5000</v>
      </c>
    </row>
    <row r="101" spans="1:7" x14ac:dyDescent="0.3">
      <c r="A101" t="s">
        <v>185</v>
      </c>
      <c r="B101" t="s">
        <v>330</v>
      </c>
      <c r="C101">
        <v>1089705</v>
      </c>
      <c r="D101" t="s">
        <v>1224</v>
      </c>
      <c r="E101" t="s">
        <v>26</v>
      </c>
      <c r="F101" t="s">
        <v>124</v>
      </c>
      <c r="G101" s="16">
        <v>3000</v>
      </c>
    </row>
    <row r="102" spans="1:7" x14ac:dyDescent="0.3">
      <c r="A102" t="s">
        <v>185</v>
      </c>
      <c r="B102" t="s">
        <v>1225</v>
      </c>
      <c r="C102">
        <v>1089770</v>
      </c>
      <c r="D102" t="s">
        <v>1226</v>
      </c>
      <c r="E102" t="s">
        <v>26</v>
      </c>
      <c r="F102" t="s">
        <v>124</v>
      </c>
      <c r="G102" s="16">
        <v>3000</v>
      </c>
    </row>
    <row r="103" spans="1:7" x14ac:dyDescent="0.3">
      <c r="A103" t="s">
        <v>185</v>
      </c>
      <c r="B103" t="s">
        <v>1225</v>
      </c>
      <c r="C103">
        <v>1089769</v>
      </c>
      <c r="D103" t="s">
        <v>1227</v>
      </c>
      <c r="E103" t="s">
        <v>26</v>
      </c>
      <c r="F103" t="s">
        <v>124</v>
      </c>
      <c r="G103" s="16">
        <v>3000</v>
      </c>
    </row>
    <row r="104" spans="1:7" x14ac:dyDescent="0.3">
      <c r="A104" t="s">
        <v>185</v>
      </c>
      <c r="B104" t="s">
        <v>189</v>
      </c>
      <c r="C104">
        <v>1089693</v>
      </c>
      <c r="D104" t="s">
        <v>1228</v>
      </c>
      <c r="E104" t="s">
        <v>26</v>
      </c>
      <c r="F104" t="s">
        <v>134</v>
      </c>
      <c r="G104" s="16">
        <v>4000</v>
      </c>
    </row>
    <row r="105" spans="1:7" x14ac:dyDescent="0.3">
      <c r="A105" t="s">
        <v>185</v>
      </c>
      <c r="B105" t="s">
        <v>186</v>
      </c>
      <c r="C105">
        <v>1089676</v>
      </c>
      <c r="D105" t="s">
        <v>1229</v>
      </c>
      <c r="E105" t="s">
        <v>26</v>
      </c>
      <c r="F105" t="s">
        <v>211</v>
      </c>
      <c r="G105" s="16">
        <v>2500</v>
      </c>
    </row>
    <row r="106" spans="1:7" x14ac:dyDescent="0.3">
      <c r="A106" t="s">
        <v>185</v>
      </c>
      <c r="B106" t="s">
        <v>208</v>
      </c>
      <c r="C106">
        <v>1089759</v>
      </c>
      <c r="D106" t="s">
        <v>1230</v>
      </c>
      <c r="E106" t="s">
        <v>210</v>
      </c>
      <c r="F106" t="s">
        <v>211</v>
      </c>
      <c r="G106" s="16">
        <v>2000</v>
      </c>
    </row>
    <row r="107" spans="1:7" x14ac:dyDescent="0.3">
      <c r="A107" t="s">
        <v>185</v>
      </c>
      <c r="B107" t="s">
        <v>208</v>
      </c>
      <c r="C107">
        <v>1089758</v>
      </c>
      <c r="D107" t="s">
        <v>1231</v>
      </c>
      <c r="E107" t="s">
        <v>210</v>
      </c>
      <c r="F107" t="s">
        <v>141</v>
      </c>
      <c r="G107" s="16">
        <v>4000</v>
      </c>
    </row>
    <row r="108" spans="1:7" x14ac:dyDescent="0.3">
      <c r="A108" t="s">
        <v>185</v>
      </c>
      <c r="B108" t="s">
        <v>1232</v>
      </c>
      <c r="C108">
        <v>1089712</v>
      </c>
      <c r="D108" t="s">
        <v>1233</v>
      </c>
      <c r="E108" t="s">
        <v>160</v>
      </c>
      <c r="F108" t="s">
        <v>592</v>
      </c>
      <c r="G108" s="16">
        <v>15000</v>
      </c>
    </row>
    <row r="109" spans="1:7" x14ac:dyDescent="0.3">
      <c r="A109" t="s">
        <v>185</v>
      </c>
      <c r="B109" t="s">
        <v>1234</v>
      </c>
      <c r="C109">
        <v>1089694</v>
      </c>
      <c r="D109" t="s">
        <v>1235</v>
      </c>
      <c r="E109" t="s">
        <v>34</v>
      </c>
      <c r="F109" t="s">
        <v>605</v>
      </c>
      <c r="G109" s="16">
        <v>1800</v>
      </c>
    </row>
    <row r="110" spans="1:7" x14ac:dyDescent="0.3">
      <c r="A110" t="s">
        <v>185</v>
      </c>
      <c r="B110" t="s">
        <v>1234</v>
      </c>
      <c r="C110">
        <v>1089696</v>
      </c>
      <c r="D110" t="s">
        <v>1236</v>
      </c>
      <c r="E110" t="s">
        <v>34</v>
      </c>
      <c r="F110" t="s">
        <v>605</v>
      </c>
      <c r="G110" s="16">
        <v>1800</v>
      </c>
    </row>
    <row r="111" spans="1:7" x14ac:dyDescent="0.3">
      <c r="A111" t="s">
        <v>185</v>
      </c>
      <c r="B111" t="s">
        <v>186</v>
      </c>
      <c r="C111">
        <v>1089717</v>
      </c>
      <c r="D111" t="s">
        <v>1237</v>
      </c>
      <c r="E111" t="s">
        <v>198</v>
      </c>
      <c r="F111" t="s">
        <v>226</v>
      </c>
      <c r="G111" s="16">
        <v>2200</v>
      </c>
    </row>
    <row r="112" spans="1:7" x14ac:dyDescent="0.3">
      <c r="A112" t="s">
        <v>185</v>
      </c>
      <c r="B112" t="s">
        <v>208</v>
      </c>
      <c r="C112">
        <v>1089740</v>
      </c>
      <c r="D112" t="s">
        <v>1238</v>
      </c>
      <c r="E112" t="s">
        <v>210</v>
      </c>
      <c r="F112" t="s">
        <v>226</v>
      </c>
      <c r="G112" s="16">
        <v>2000</v>
      </c>
    </row>
    <row r="113" spans="1:7" x14ac:dyDescent="0.3">
      <c r="A113" t="s">
        <v>185</v>
      </c>
      <c r="B113" t="s">
        <v>1220</v>
      </c>
      <c r="C113">
        <v>1089730</v>
      </c>
      <c r="D113" t="s">
        <v>1221</v>
      </c>
      <c r="E113" t="s">
        <v>26</v>
      </c>
      <c r="F113" t="s">
        <v>231</v>
      </c>
      <c r="G113" s="16">
        <v>2500</v>
      </c>
    </row>
    <row r="114" spans="1:7" x14ac:dyDescent="0.3">
      <c r="A114" t="s">
        <v>185</v>
      </c>
      <c r="B114" t="s">
        <v>208</v>
      </c>
      <c r="C114">
        <v>1089758</v>
      </c>
      <c r="D114" t="s">
        <v>1231</v>
      </c>
      <c r="E114" t="s">
        <v>210</v>
      </c>
      <c r="F114" t="s">
        <v>233</v>
      </c>
      <c r="G114" s="16">
        <v>2500</v>
      </c>
    </row>
    <row r="115" spans="1:7" x14ac:dyDescent="0.3">
      <c r="A115" t="s">
        <v>185</v>
      </c>
      <c r="B115" t="s">
        <v>208</v>
      </c>
      <c r="C115">
        <v>1089759</v>
      </c>
      <c r="D115" t="s">
        <v>1230</v>
      </c>
      <c r="E115" t="s">
        <v>210</v>
      </c>
      <c r="F115" t="s">
        <v>1239</v>
      </c>
      <c r="G115" s="16">
        <v>2000</v>
      </c>
    </row>
    <row r="116" spans="1:7" x14ac:dyDescent="0.3">
      <c r="A116" t="s">
        <v>185</v>
      </c>
      <c r="B116" t="s">
        <v>1234</v>
      </c>
      <c r="C116">
        <v>1089702</v>
      </c>
      <c r="D116" t="s">
        <v>1240</v>
      </c>
      <c r="E116" t="s">
        <v>26</v>
      </c>
      <c r="F116" t="s">
        <v>563</v>
      </c>
      <c r="G116" s="16">
        <v>2500</v>
      </c>
    </row>
    <row r="117" spans="1:7" x14ac:dyDescent="0.3">
      <c r="B117" t="s">
        <v>1241</v>
      </c>
      <c r="C117">
        <v>1089754</v>
      </c>
      <c r="D117" t="s">
        <v>1242</v>
      </c>
      <c r="E117" t="s">
        <v>26</v>
      </c>
      <c r="F117" t="s">
        <v>394</v>
      </c>
      <c r="G117" s="16">
        <v>40000</v>
      </c>
    </row>
    <row r="118" spans="1:7" x14ac:dyDescent="0.3">
      <c r="G118" s="51">
        <f>SUM(G2:G117)</f>
        <v>1124300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selection activeCell="C1" sqref="C1:F1048576"/>
    </sheetView>
  </sheetViews>
  <sheetFormatPr defaultColWidth="9.21875" defaultRowHeight="14.4" x14ac:dyDescent="0.3"/>
  <cols>
    <col min="2" max="2" width="24.21875" customWidth="1"/>
    <col min="3" max="3" width="9" customWidth="1"/>
    <col min="4" max="4" width="31.21875" bestFit="1" customWidth="1"/>
    <col min="5" max="5" width="22.21875" customWidth="1"/>
    <col min="6" max="6" width="30.77734375" customWidth="1"/>
    <col min="7" max="7" width="11" style="16" bestFit="1" customWidth="1"/>
  </cols>
  <sheetData>
    <row r="1" spans="1:10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789</v>
      </c>
      <c r="C2" s="18">
        <v>1089793</v>
      </c>
      <c r="D2" s="18" t="s">
        <v>1243</v>
      </c>
      <c r="E2" s="18" t="s">
        <v>26</v>
      </c>
      <c r="F2" s="18" t="s">
        <v>1110</v>
      </c>
      <c r="G2" s="19">
        <v>6000</v>
      </c>
    </row>
    <row r="3" spans="1:10" s="18" customFormat="1" x14ac:dyDescent="0.3">
      <c r="A3" s="18" t="s">
        <v>11</v>
      </c>
      <c r="B3" s="18" t="s">
        <v>1244</v>
      </c>
      <c r="C3" s="18">
        <v>1089809</v>
      </c>
      <c r="D3" s="18" t="s">
        <v>1245</v>
      </c>
      <c r="E3" s="18" t="s">
        <v>26</v>
      </c>
      <c r="F3" s="18" t="s">
        <v>51</v>
      </c>
      <c r="G3" s="19">
        <v>15000</v>
      </c>
    </row>
    <row r="4" spans="1:10" s="18" customFormat="1" x14ac:dyDescent="0.3">
      <c r="A4" s="18" t="s">
        <v>11</v>
      </c>
      <c r="B4" s="18" t="s">
        <v>487</v>
      </c>
      <c r="C4" s="18">
        <v>1089846</v>
      </c>
      <c r="D4" s="18" t="s">
        <v>1246</v>
      </c>
      <c r="E4" s="18" t="s">
        <v>482</v>
      </c>
      <c r="F4" s="18" t="s">
        <v>39</v>
      </c>
      <c r="G4" s="19">
        <v>20000</v>
      </c>
    </row>
    <row r="5" spans="1:10" s="18" customFormat="1" x14ac:dyDescent="0.3">
      <c r="A5" s="18" t="s">
        <v>11</v>
      </c>
      <c r="B5" s="18" t="s">
        <v>1247</v>
      </c>
      <c r="C5" s="18">
        <v>1089816</v>
      </c>
      <c r="D5" s="18" t="s">
        <v>1248</v>
      </c>
      <c r="E5" s="18" t="s">
        <v>26</v>
      </c>
      <c r="F5" s="18" t="s">
        <v>45</v>
      </c>
      <c r="G5" s="19">
        <v>25000</v>
      </c>
    </row>
    <row r="6" spans="1:10" s="18" customFormat="1" x14ac:dyDescent="0.3">
      <c r="A6" s="18" t="s">
        <v>11</v>
      </c>
      <c r="B6" s="18" t="s">
        <v>401</v>
      </c>
      <c r="C6" s="18">
        <v>1089831</v>
      </c>
      <c r="D6" s="18" t="s">
        <v>1249</v>
      </c>
      <c r="E6" s="18" t="s">
        <v>26</v>
      </c>
      <c r="F6" s="18" t="s">
        <v>45</v>
      </c>
      <c r="G6" s="19">
        <v>25000</v>
      </c>
    </row>
    <row r="7" spans="1:10" s="18" customFormat="1" x14ac:dyDescent="0.3">
      <c r="A7" s="18" t="s">
        <v>11</v>
      </c>
      <c r="B7" s="18" t="s">
        <v>1250</v>
      </c>
      <c r="C7" s="18">
        <v>1089825</v>
      </c>
      <c r="D7" s="18" t="s">
        <v>1251</v>
      </c>
      <c r="E7" s="18" t="s">
        <v>160</v>
      </c>
      <c r="F7" s="18" t="s">
        <v>98</v>
      </c>
      <c r="G7" s="19">
        <v>26000</v>
      </c>
    </row>
    <row r="8" spans="1:10" s="18" customFormat="1" x14ac:dyDescent="0.3">
      <c r="A8" s="18" t="s">
        <v>11</v>
      </c>
      <c r="B8" s="18" t="s">
        <v>1252</v>
      </c>
      <c r="C8" s="18">
        <v>1089819</v>
      </c>
      <c r="D8" s="18" t="s">
        <v>1253</v>
      </c>
      <c r="E8" s="18" t="s">
        <v>64</v>
      </c>
      <c r="F8" s="18" t="s">
        <v>124</v>
      </c>
      <c r="G8" s="19">
        <v>4000</v>
      </c>
    </row>
    <row r="9" spans="1:10" s="18" customFormat="1" x14ac:dyDescent="0.3">
      <c r="A9" s="18" t="s">
        <v>11</v>
      </c>
      <c r="B9" s="18" t="s">
        <v>1254</v>
      </c>
      <c r="C9" s="18">
        <v>1089778</v>
      </c>
      <c r="D9" s="18" t="s">
        <v>1255</v>
      </c>
      <c r="E9" s="18" t="s">
        <v>305</v>
      </c>
      <c r="F9" s="18" t="s">
        <v>299</v>
      </c>
      <c r="G9" s="19">
        <v>2200</v>
      </c>
    </row>
    <row r="10" spans="1:10" s="18" customFormat="1" x14ac:dyDescent="0.3">
      <c r="A10" s="18" t="s">
        <v>11</v>
      </c>
      <c r="B10" s="18" t="s">
        <v>1254</v>
      </c>
      <c r="C10" s="18">
        <v>1089778</v>
      </c>
      <c r="D10" s="18" t="s">
        <v>1255</v>
      </c>
      <c r="E10" s="18" t="s">
        <v>305</v>
      </c>
      <c r="F10" s="18" t="s">
        <v>231</v>
      </c>
      <c r="G10" s="19">
        <v>2500</v>
      </c>
      <c r="H10" s="20">
        <f>SUM(G2:G10)</f>
        <v>125700</v>
      </c>
      <c r="I10" s="18">
        <v>9000</v>
      </c>
      <c r="J10" s="28">
        <f>I10/H10</f>
        <v>7.1599045346062054E-2</v>
      </c>
    </row>
    <row r="11" spans="1:10" s="10" customFormat="1" x14ac:dyDescent="0.3">
      <c r="A11" s="10" t="s">
        <v>0</v>
      </c>
      <c r="B11" s="10" t="s">
        <v>271</v>
      </c>
      <c r="C11" s="10">
        <v>1089826</v>
      </c>
      <c r="D11" s="10" t="s">
        <v>1256</v>
      </c>
      <c r="E11" s="10" t="s">
        <v>160</v>
      </c>
      <c r="F11" s="10" t="s">
        <v>48</v>
      </c>
      <c r="G11" s="21">
        <v>2500</v>
      </c>
    </row>
    <row r="12" spans="1:10" s="10" customFormat="1" x14ac:dyDescent="0.3">
      <c r="A12" s="10" t="s">
        <v>0</v>
      </c>
      <c r="B12" s="10" t="s">
        <v>77</v>
      </c>
      <c r="C12" s="10">
        <v>1089786</v>
      </c>
      <c r="D12" s="10" t="s">
        <v>1257</v>
      </c>
      <c r="E12" s="10" t="s">
        <v>26</v>
      </c>
      <c r="F12" s="10" t="s">
        <v>498</v>
      </c>
      <c r="G12" s="21">
        <v>22000</v>
      </c>
    </row>
    <row r="13" spans="1:10" s="10" customFormat="1" x14ac:dyDescent="0.3">
      <c r="A13" s="10" t="s">
        <v>0</v>
      </c>
      <c r="B13" s="10" t="s">
        <v>271</v>
      </c>
      <c r="C13" s="10">
        <v>1089847</v>
      </c>
      <c r="D13" s="10" t="s">
        <v>1258</v>
      </c>
      <c r="E13" s="10" t="s">
        <v>64</v>
      </c>
      <c r="F13" s="10" t="s">
        <v>51</v>
      </c>
      <c r="G13" s="21">
        <v>18000</v>
      </c>
    </row>
    <row r="14" spans="1:10" s="10" customFormat="1" x14ac:dyDescent="0.3">
      <c r="A14" s="10" t="s">
        <v>0</v>
      </c>
      <c r="B14" s="10" t="s">
        <v>1259</v>
      </c>
      <c r="C14" s="10">
        <v>1089845</v>
      </c>
      <c r="D14" s="10" t="s">
        <v>1260</v>
      </c>
      <c r="E14" s="10" t="s">
        <v>34</v>
      </c>
      <c r="F14" s="10" t="s">
        <v>27</v>
      </c>
      <c r="G14" s="21">
        <v>9000</v>
      </c>
    </row>
    <row r="15" spans="1:10" s="10" customFormat="1" x14ac:dyDescent="0.3">
      <c r="A15" s="10" t="s">
        <v>0</v>
      </c>
      <c r="B15" s="10" t="s">
        <v>1261</v>
      </c>
      <c r="C15" s="10">
        <v>1089835</v>
      </c>
      <c r="D15" s="10" t="s">
        <v>1262</v>
      </c>
      <c r="E15" s="10" t="s">
        <v>26</v>
      </c>
      <c r="F15" s="10" t="s">
        <v>27</v>
      </c>
      <c r="G15" s="21">
        <v>12000</v>
      </c>
    </row>
    <row r="16" spans="1:10" s="10" customFormat="1" x14ac:dyDescent="0.3">
      <c r="A16" s="10" t="s">
        <v>0</v>
      </c>
      <c r="B16" s="10" t="s">
        <v>937</v>
      </c>
      <c r="C16" s="10">
        <v>1089780</v>
      </c>
      <c r="D16" s="10" t="s">
        <v>1263</v>
      </c>
      <c r="E16" s="10" t="s">
        <v>26</v>
      </c>
      <c r="F16" s="10" t="s">
        <v>61</v>
      </c>
      <c r="G16" s="21">
        <v>14000</v>
      </c>
    </row>
    <row r="17" spans="1:7" s="10" customFormat="1" x14ac:dyDescent="0.3">
      <c r="A17" s="10" t="s">
        <v>0</v>
      </c>
      <c r="B17" s="10" t="s">
        <v>69</v>
      </c>
      <c r="C17" s="10">
        <v>1089763</v>
      </c>
      <c r="D17" s="10" t="s">
        <v>1264</v>
      </c>
      <c r="E17" s="10" t="s">
        <v>26</v>
      </c>
      <c r="F17" s="10" t="s">
        <v>71</v>
      </c>
      <c r="G17" s="21">
        <v>6500</v>
      </c>
    </row>
    <row r="18" spans="1:7" s="44" customFormat="1" x14ac:dyDescent="0.3">
      <c r="A18" s="10" t="s">
        <v>0</v>
      </c>
      <c r="B18" s="10" t="s">
        <v>1265</v>
      </c>
      <c r="C18" s="10">
        <v>1089764</v>
      </c>
      <c r="D18" s="10" t="s">
        <v>1266</v>
      </c>
      <c r="E18" s="10" t="s">
        <v>160</v>
      </c>
      <c r="F18" s="10" t="s">
        <v>316</v>
      </c>
      <c r="G18" s="21">
        <v>18000</v>
      </c>
    </row>
    <row r="19" spans="1:7" s="10" customFormat="1" x14ac:dyDescent="0.3">
      <c r="A19" s="10" t="s">
        <v>0</v>
      </c>
      <c r="B19" s="10" t="s">
        <v>271</v>
      </c>
      <c r="C19" s="10">
        <v>1089774</v>
      </c>
      <c r="D19" s="10" t="s">
        <v>827</v>
      </c>
      <c r="E19" s="10" t="s">
        <v>160</v>
      </c>
      <c r="F19" s="10" t="s">
        <v>516</v>
      </c>
      <c r="G19" s="21">
        <v>30000</v>
      </c>
    </row>
    <row r="20" spans="1:7" s="10" customFormat="1" x14ac:dyDescent="0.3">
      <c r="A20" s="10" t="s">
        <v>0</v>
      </c>
      <c r="B20" s="10" t="s">
        <v>102</v>
      </c>
      <c r="C20" s="10">
        <v>1089820</v>
      </c>
      <c r="D20" s="10" t="s">
        <v>1267</v>
      </c>
      <c r="E20" s="10" t="s">
        <v>34</v>
      </c>
      <c r="F20" s="10" t="s">
        <v>516</v>
      </c>
      <c r="G20" s="21">
        <v>20000</v>
      </c>
    </row>
    <row r="21" spans="1:7" s="10" customFormat="1" x14ac:dyDescent="0.3">
      <c r="A21" s="10" t="s">
        <v>0</v>
      </c>
      <c r="B21" s="10" t="s">
        <v>1268</v>
      </c>
      <c r="C21" s="10">
        <v>1089830</v>
      </c>
      <c r="D21" s="10" t="s">
        <v>1269</v>
      </c>
      <c r="E21" s="10" t="s">
        <v>26</v>
      </c>
      <c r="F21" s="10" t="s">
        <v>39</v>
      </c>
      <c r="G21" s="21">
        <v>20000</v>
      </c>
    </row>
    <row r="22" spans="1:7" s="10" customFormat="1" x14ac:dyDescent="0.3">
      <c r="A22" s="10" t="s">
        <v>0</v>
      </c>
      <c r="B22" s="10" t="s">
        <v>580</v>
      </c>
      <c r="C22" s="10">
        <v>1089783</v>
      </c>
      <c r="D22" s="10" t="s">
        <v>1157</v>
      </c>
      <c r="E22" s="10" t="s">
        <v>26</v>
      </c>
      <c r="F22" s="10" t="s">
        <v>39</v>
      </c>
      <c r="G22" s="21">
        <v>15000</v>
      </c>
    </row>
    <row r="23" spans="1:7" s="10" customFormat="1" x14ac:dyDescent="0.3">
      <c r="A23" s="10" t="s">
        <v>0</v>
      </c>
      <c r="B23" s="10" t="s">
        <v>1159</v>
      </c>
      <c r="C23" s="10">
        <v>1089807</v>
      </c>
      <c r="D23" s="10" t="s">
        <v>1270</v>
      </c>
      <c r="E23" s="10" t="s">
        <v>60</v>
      </c>
      <c r="F23" s="10" t="s">
        <v>84</v>
      </c>
      <c r="G23" s="21">
        <v>18000</v>
      </c>
    </row>
    <row r="24" spans="1:7" s="10" customFormat="1" x14ac:dyDescent="0.3">
      <c r="A24" s="10" t="s">
        <v>0</v>
      </c>
      <c r="B24" s="10" t="s">
        <v>1265</v>
      </c>
      <c r="C24" s="10">
        <v>1089764</v>
      </c>
      <c r="D24" s="10" t="s">
        <v>1266</v>
      </c>
      <c r="E24" s="10" t="s">
        <v>160</v>
      </c>
      <c r="F24" s="10" t="s">
        <v>84</v>
      </c>
      <c r="G24" s="21">
        <v>18000</v>
      </c>
    </row>
    <row r="25" spans="1:7" s="10" customFormat="1" x14ac:dyDescent="0.3">
      <c r="A25" s="10" t="s">
        <v>0</v>
      </c>
      <c r="B25" s="10" t="s">
        <v>1271</v>
      </c>
      <c r="C25" s="10">
        <v>1089787</v>
      </c>
      <c r="D25" s="10" t="s">
        <v>1272</v>
      </c>
      <c r="E25" s="10" t="s">
        <v>34</v>
      </c>
      <c r="F25" s="10" t="s">
        <v>84</v>
      </c>
      <c r="G25" s="21">
        <v>18000</v>
      </c>
    </row>
    <row r="26" spans="1:7" s="44" customFormat="1" x14ac:dyDescent="0.3">
      <c r="A26" s="10" t="s">
        <v>0</v>
      </c>
      <c r="B26" s="10" t="s">
        <v>1273</v>
      </c>
      <c r="C26" s="10">
        <v>1089781</v>
      </c>
      <c r="D26" s="10" t="s">
        <v>1274</v>
      </c>
      <c r="E26" s="10" t="s">
        <v>26</v>
      </c>
      <c r="F26" s="10" t="s">
        <v>84</v>
      </c>
      <c r="G26" s="21">
        <v>20000</v>
      </c>
    </row>
    <row r="27" spans="1:7" s="44" customFormat="1" x14ac:dyDescent="0.3">
      <c r="A27" s="10" t="s">
        <v>0</v>
      </c>
      <c r="B27" s="10" t="s">
        <v>271</v>
      </c>
      <c r="C27" s="10">
        <v>1089776</v>
      </c>
      <c r="D27" s="10" t="s">
        <v>1275</v>
      </c>
      <c r="E27" s="10" t="s">
        <v>160</v>
      </c>
      <c r="F27" s="10" t="s">
        <v>104</v>
      </c>
      <c r="G27" s="21">
        <v>4000</v>
      </c>
    </row>
    <row r="28" spans="1:7" s="10" customFormat="1" x14ac:dyDescent="0.3">
      <c r="A28" s="10" t="s">
        <v>0</v>
      </c>
      <c r="B28" s="10" t="s">
        <v>271</v>
      </c>
      <c r="C28" s="10">
        <v>1089817</v>
      </c>
      <c r="D28" s="10" t="s">
        <v>1276</v>
      </c>
      <c r="E28" s="10" t="s">
        <v>34</v>
      </c>
      <c r="F28" s="10" t="s">
        <v>104</v>
      </c>
      <c r="G28" s="21">
        <v>4000</v>
      </c>
    </row>
    <row r="29" spans="1:7" s="10" customFormat="1" x14ac:dyDescent="0.3">
      <c r="A29" s="10" t="s">
        <v>0</v>
      </c>
      <c r="B29" s="10" t="s">
        <v>135</v>
      </c>
      <c r="C29" s="10">
        <v>1089839</v>
      </c>
      <c r="D29" s="10" t="s">
        <v>1277</v>
      </c>
      <c r="E29" s="10" t="s">
        <v>26</v>
      </c>
      <c r="F29" s="10" t="s">
        <v>837</v>
      </c>
      <c r="G29" s="21">
        <v>8000</v>
      </c>
    </row>
    <row r="30" spans="1:7" s="44" customFormat="1" x14ac:dyDescent="0.3">
      <c r="A30" s="10" t="s">
        <v>0</v>
      </c>
      <c r="B30" s="10" t="s">
        <v>1278</v>
      </c>
      <c r="C30" s="10">
        <v>1089794</v>
      </c>
      <c r="D30" s="10" t="s">
        <v>1279</v>
      </c>
      <c r="E30" s="10" t="s">
        <v>26</v>
      </c>
      <c r="F30" s="10" t="s">
        <v>116</v>
      </c>
      <c r="G30" s="21">
        <v>5000</v>
      </c>
    </row>
    <row r="31" spans="1:7" s="10" customFormat="1" x14ac:dyDescent="0.3">
      <c r="A31" s="10" t="s">
        <v>0</v>
      </c>
      <c r="B31" s="10" t="s">
        <v>127</v>
      </c>
      <c r="C31" s="10">
        <v>1089762</v>
      </c>
      <c r="D31" s="10" t="s">
        <v>1280</v>
      </c>
      <c r="E31" s="10" t="s">
        <v>64</v>
      </c>
      <c r="F31" s="10" t="s">
        <v>124</v>
      </c>
      <c r="G31" s="21">
        <v>4000</v>
      </c>
    </row>
    <row r="32" spans="1:7" s="10" customFormat="1" x14ac:dyDescent="0.3">
      <c r="A32" s="10" t="s">
        <v>0</v>
      </c>
      <c r="B32" s="10" t="s">
        <v>1281</v>
      </c>
      <c r="C32" s="10">
        <v>1089823</v>
      </c>
      <c r="D32" s="10" t="s">
        <v>1282</v>
      </c>
      <c r="E32" s="10" t="s">
        <v>26</v>
      </c>
      <c r="F32" s="10" t="s">
        <v>124</v>
      </c>
      <c r="G32" s="21">
        <v>3000</v>
      </c>
    </row>
    <row r="33" spans="1:7" s="10" customFormat="1" x14ac:dyDescent="0.3">
      <c r="A33" s="10" t="s">
        <v>0</v>
      </c>
      <c r="B33" s="10" t="s">
        <v>125</v>
      </c>
      <c r="C33" s="10">
        <v>1089833</v>
      </c>
      <c r="D33" s="10" t="s">
        <v>1283</v>
      </c>
      <c r="E33" s="10" t="s">
        <v>60</v>
      </c>
      <c r="F33" s="10" t="s">
        <v>124</v>
      </c>
      <c r="G33" s="21">
        <v>3000</v>
      </c>
    </row>
    <row r="34" spans="1:7" s="10" customFormat="1" x14ac:dyDescent="0.3">
      <c r="A34" s="10" t="s">
        <v>0</v>
      </c>
      <c r="B34" s="10" t="s">
        <v>127</v>
      </c>
      <c r="C34" s="10">
        <v>1089802</v>
      </c>
      <c r="D34" s="10" t="s">
        <v>1284</v>
      </c>
      <c r="E34" s="10" t="s">
        <v>34</v>
      </c>
      <c r="F34" s="10" t="s">
        <v>129</v>
      </c>
      <c r="G34" s="21">
        <v>4000</v>
      </c>
    </row>
    <row r="35" spans="1:7" s="10" customFormat="1" x14ac:dyDescent="0.3">
      <c r="A35" s="10" t="s">
        <v>0</v>
      </c>
      <c r="B35" s="10" t="s">
        <v>1285</v>
      </c>
      <c r="C35" s="10">
        <v>1089812</v>
      </c>
      <c r="D35" s="10" t="s">
        <v>1286</v>
      </c>
      <c r="E35" s="10" t="s">
        <v>26</v>
      </c>
      <c r="F35" s="10" t="s">
        <v>129</v>
      </c>
      <c r="G35" s="21">
        <v>3000</v>
      </c>
    </row>
    <row r="36" spans="1:7" s="10" customFormat="1" x14ac:dyDescent="0.3">
      <c r="A36" s="10" t="s">
        <v>0</v>
      </c>
      <c r="B36" s="10" t="s">
        <v>1287</v>
      </c>
      <c r="C36" s="10">
        <v>1089806</v>
      </c>
      <c r="D36" s="10" t="s">
        <v>1288</v>
      </c>
      <c r="E36" s="10" t="s">
        <v>160</v>
      </c>
      <c r="F36" s="10" t="s">
        <v>129</v>
      </c>
      <c r="G36" s="21">
        <v>4000</v>
      </c>
    </row>
    <row r="37" spans="1:7" s="10" customFormat="1" x14ac:dyDescent="0.3">
      <c r="A37" s="10" t="s">
        <v>0</v>
      </c>
      <c r="B37" s="10" t="s">
        <v>130</v>
      </c>
      <c r="C37" s="10">
        <v>1089836</v>
      </c>
      <c r="D37" s="10" t="s">
        <v>1289</v>
      </c>
      <c r="E37" s="10" t="s">
        <v>26</v>
      </c>
      <c r="F37" s="10" t="s">
        <v>134</v>
      </c>
      <c r="G37" s="21">
        <v>4000</v>
      </c>
    </row>
    <row r="38" spans="1:7" s="10" customFormat="1" x14ac:dyDescent="0.3">
      <c r="A38" s="10" t="s">
        <v>0</v>
      </c>
      <c r="B38" s="10" t="s">
        <v>77</v>
      </c>
      <c r="C38" s="10">
        <v>1089804</v>
      </c>
      <c r="D38" s="10" t="s">
        <v>1290</v>
      </c>
      <c r="E38" s="10" t="s">
        <v>26</v>
      </c>
      <c r="F38" s="10" t="s">
        <v>292</v>
      </c>
      <c r="G38" s="21">
        <v>3000</v>
      </c>
    </row>
    <row r="39" spans="1:7" s="23" customFormat="1" x14ac:dyDescent="0.3">
      <c r="A39" s="10" t="s">
        <v>0</v>
      </c>
      <c r="B39" s="10" t="s">
        <v>135</v>
      </c>
      <c r="C39" s="10">
        <v>1089789</v>
      </c>
      <c r="D39" s="10" t="s">
        <v>1291</v>
      </c>
      <c r="E39" s="10" t="s">
        <v>79</v>
      </c>
      <c r="F39" s="10" t="s">
        <v>701</v>
      </c>
      <c r="G39" s="21">
        <v>2500</v>
      </c>
    </row>
    <row r="40" spans="1:7" s="23" customFormat="1" x14ac:dyDescent="0.3">
      <c r="A40" s="10" t="s">
        <v>0</v>
      </c>
      <c r="B40" s="10" t="s">
        <v>77</v>
      </c>
      <c r="C40" s="10">
        <v>1089804</v>
      </c>
      <c r="D40" s="10" t="s">
        <v>1290</v>
      </c>
      <c r="E40" s="10" t="s">
        <v>26</v>
      </c>
      <c r="F40" s="10" t="s">
        <v>141</v>
      </c>
      <c r="G40" s="21">
        <v>5000</v>
      </c>
    </row>
    <row r="41" spans="1:7" s="10" customFormat="1" x14ac:dyDescent="0.3">
      <c r="A41" s="10" t="s">
        <v>0</v>
      </c>
      <c r="B41" s="10" t="s">
        <v>135</v>
      </c>
      <c r="C41" s="10">
        <v>1089839</v>
      </c>
      <c r="D41" s="10" t="s">
        <v>1277</v>
      </c>
      <c r="E41" s="10" t="s">
        <v>26</v>
      </c>
      <c r="F41" s="10" t="s">
        <v>1292</v>
      </c>
      <c r="G41" s="21">
        <v>2000</v>
      </c>
    </row>
    <row r="42" spans="1:7" s="10" customFormat="1" x14ac:dyDescent="0.3">
      <c r="A42" s="10" t="s">
        <v>0</v>
      </c>
      <c r="B42" s="10" t="s">
        <v>77</v>
      </c>
      <c r="C42" s="10">
        <v>1089832</v>
      </c>
      <c r="D42" s="10" t="s">
        <v>1293</v>
      </c>
      <c r="E42" s="10" t="s">
        <v>26</v>
      </c>
      <c r="F42" s="10" t="s">
        <v>142</v>
      </c>
      <c r="G42" s="21">
        <v>2000</v>
      </c>
    </row>
    <row r="43" spans="1:7" s="10" customFormat="1" x14ac:dyDescent="0.3">
      <c r="A43" s="10" t="s">
        <v>0</v>
      </c>
      <c r="B43" s="10" t="s">
        <v>58</v>
      </c>
      <c r="C43" s="10">
        <v>1089761</v>
      </c>
      <c r="D43" s="10" t="s">
        <v>1294</v>
      </c>
      <c r="E43" s="10" t="s">
        <v>26</v>
      </c>
      <c r="F43" s="10" t="s">
        <v>142</v>
      </c>
      <c r="G43" s="21">
        <v>2000</v>
      </c>
    </row>
    <row r="44" spans="1:7" s="10" customFormat="1" x14ac:dyDescent="0.3">
      <c r="A44" s="10" t="s">
        <v>0</v>
      </c>
      <c r="B44" s="10" t="s">
        <v>694</v>
      </c>
      <c r="C44" s="10">
        <v>1089815</v>
      </c>
      <c r="D44" s="10" t="s">
        <v>1295</v>
      </c>
      <c r="E44" s="10" t="s">
        <v>201</v>
      </c>
      <c r="F44" s="10" t="s">
        <v>142</v>
      </c>
      <c r="G44" s="21">
        <v>1800</v>
      </c>
    </row>
    <row r="45" spans="1:7" s="23" customFormat="1" x14ac:dyDescent="0.3">
      <c r="A45" s="10" t="s">
        <v>0</v>
      </c>
      <c r="B45" s="10" t="s">
        <v>80</v>
      </c>
      <c r="C45" s="10">
        <v>1089785</v>
      </c>
      <c r="D45" s="10" t="s">
        <v>1296</v>
      </c>
      <c r="E45" s="10" t="s">
        <v>26</v>
      </c>
      <c r="F45" s="10" t="s">
        <v>557</v>
      </c>
      <c r="G45" s="21">
        <v>2500</v>
      </c>
    </row>
    <row r="46" spans="1:7" s="23" customFormat="1" x14ac:dyDescent="0.3">
      <c r="A46" s="10" t="s">
        <v>0</v>
      </c>
      <c r="B46" s="10" t="s">
        <v>862</v>
      </c>
      <c r="C46" s="10">
        <v>1089773</v>
      </c>
      <c r="D46" s="10" t="s">
        <v>1297</v>
      </c>
      <c r="E46" s="10" t="s">
        <v>26</v>
      </c>
      <c r="F46" s="10" t="s">
        <v>231</v>
      </c>
      <c r="G46" s="21">
        <v>2500</v>
      </c>
    </row>
    <row r="47" spans="1:7" s="10" customFormat="1" x14ac:dyDescent="0.3">
      <c r="A47" s="10" t="s">
        <v>0</v>
      </c>
      <c r="B47" s="10" t="s">
        <v>1287</v>
      </c>
      <c r="C47" s="10">
        <v>1089801</v>
      </c>
      <c r="D47" s="10" t="s">
        <v>1298</v>
      </c>
      <c r="E47" s="10" t="s">
        <v>26</v>
      </c>
      <c r="F47" s="10" t="s">
        <v>231</v>
      </c>
      <c r="G47" s="21">
        <v>2500</v>
      </c>
    </row>
    <row r="48" spans="1:7" s="10" customFormat="1" x14ac:dyDescent="0.3">
      <c r="A48" s="10" t="s">
        <v>0</v>
      </c>
      <c r="B48" s="10" t="s">
        <v>1299</v>
      </c>
      <c r="C48" s="10">
        <v>1089801</v>
      </c>
      <c r="D48" s="10" t="s">
        <v>1298</v>
      </c>
      <c r="E48" s="10" t="s">
        <v>26</v>
      </c>
      <c r="F48" s="10" t="s">
        <v>233</v>
      </c>
      <c r="G48" s="21">
        <v>2500</v>
      </c>
    </row>
    <row r="49" spans="1:7" s="10" customFormat="1" x14ac:dyDescent="0.3">
      <c r="A49" s="10" t="s">
        <v>0</v>
      </c>
      <c r="B49" s="10" t="s">
        <v>295</v>
      </c>
      <c r="C49" s="10">
        <v>1089808</v>
      </c>
      <c r="D49" s="10" t="s">
        <v>1300</v>
      </c>
      <c r="E49" s="10" t="s">
        <v>26</v>
      </c>
      <c r="F49" s="10" t="s">
        <v>233</v>
      </c>
      <c r="G49" s="21">
        <v>2500</v>
      </c>
    </row>
    <row r="50" spans="1:7" s="10" customFormat="1" x14ac:dyDescent="0.3">
      <c r="A50" s="23" t="s">
        <v>9</v>
      </c>
      <c r="B50" s="23" t="s">
        <v>1301</v>
      </c>
      <c r="C50" s="23">
        <v>1089803</v>
      </c>
      <c r="D50" s="23" t="s">
        <v>1302</v>
      </c>
      <c r="E50" s="23" t="s">
        <v>26</v>
      </c>
      <c r="F50" s="23" t="s">
        <v>48</v>
      </c>
      <c r="G50" s="24">
        <v>2500</v>
      </c>
    </row>
    <row r="51" spans="1:7" s="10" customFormat="1" x14ac:dyDescent="0.3">
      <c r="A51" s="23" t="s">
        <v>9</v>
      </c>
      <c r="B51" s="23" t="s">
        <v>1303</v>
      </c>
      <c r="C51" s="23">
        <v>1089814</v>
      </c>
      <c r="D51" s="23" t="s">
        <v>1304</v>
      </c>
      <c r="E51" s="23" t="s">
        <v>26</v>
      </c>
      <c r="F51" s="23" t="s">
        <v>54</v>
      </c>
      <c r="G51" s="24">
        <v>14000</v>
      </c>
    </row>
    <row r="52" spans="1:7" s="10" customFormat="1" x14ac:dyDescent="0.3">
      <c r="A52" s="23" t="s">
        <v>9</v>
      </c>
      <c r="B52" s="23" t="s">
        <v>1198</v>
      </c>
      <c r="C52" s="23">
        <v>1089765</v>
      </c>
      <c r="D52" s="23" t="s">
        <v>1305</v>
      </c>
      <c r="E52" s="23" t="s">
        <v>79</v>
      </c>
      <c r="F52" s="23" t="s">
        <v>65</v>
      </c>
      <c r="G52" s="24">
        <v>8000</v>
      </c>
    </row>
    <row r="53" spans="1:7" x14ac:dyDescent="0.3">
      <c r="A53" s="23" t="s">
        <v>9</v>
      </c>
      <c r="B53" s="23" t="s">
        <v>438</v>
      </c>
      <c r="C53" s="23">
        <v>1089795</v>
      </c>
      <c r="D53" s="23" t="s">
        <v>1306</v>
      </c>
      <c r="E53" s="23" t="s">
        <v>26</v>
      </c>
      <c r="F53" s="23" t="s">
        <v>356</v>
      </c>
      <c r="G53" s="24">
        <v>25000</v>
      </c>
    </row>
    <row r="54" spans="1:7" x14ac:dyDescent="0.3">
      <c r="A54" s="23" t="s">
        <v>9</v>
      </c>
      <c r="B54" s="23" t="s">
        <v>1307</v>
      </c>
      <c r="C54" s="23">
        <v>1089784</v>
      </c>
      <c r="D54" s="23" t="s">
        <v>1308</v>
      </c>
      <c r="E54" s="23" t="s">
        <v>34</v>
      </c>
      <c r="F54" s="23" t="s">
        <v>39</v>
      </c>
      <c r="G54" s="24">
        <v>18000</v>
      </c>
    </row>
    <row r="55" spans="1:7" x14ac:dyDescent="0.3">
      <c r="A55" s="23" t="s">
        <v>9</v>
      </c>
      <c r="B55" s="23" t="s">
        <v>580</v>
      </c>
      <c r="C55" s="23">
        <v>1089818</v>
      </c>
      <c r="D55" s="23" t="s">
        <v>1309</v>
      </c>
      <c r="E55" s="23" t="s">
        <v>26</v>
      </c>
      <c r="F55" s="23" t="s">
        <v>39</v>
      </c>
      <c r="G55" s="24">
        <v>20000</v>
      </c>
    </row>
    <row r="56" spans="1:7" x14ac:dyDescent="0.3">
      <c r="A56" s="23" t="s">
        <v>9</v>
      </c>
      <c r="B56" s="23" t="s">
        <v>1310</v>
      </c>
      <c r="C56" s="23">
        <v>1089828</v>
      </c>
      <c r="D56" s="23" t="s">
        <v>1311</v>
      </c>
      <c r="E56" s="23" t="s">
        <v>26</v>
      </c>
      <c r="F56" s="23" t="s">
        <v>84</v>
      </c>
      <c r="G56" s="24">
        <v>20000</v>
      </c>
    </row>
    <row r="57" spans="1:7" s="23" customFormat="1" x14ac:dyDescent="0.3">
      <c r="A57" s="23" t="s">
        <v>9</v>
      </c>
      <c r="B57" s="23" t="s">
        <v>471</v>
      </c>
      <c r="C57" s="23">
        <v>1089821</v>
      </c>
      <c r="D57" s="23" t="s">
        <v>1312</v>
      </c>
      <c r="E57" s="23" t="s">
        <v>26</v>
      </c>
      <c r="F57" s="23" t="s">
        <v>280</v>
      </c>
      <c r="G57" s="24">
        <v>38000</v>
      </c>
    </row>
    <row r="58" spans="1:7" s="23" customFormat="1" x14ac:dyDescent="0.3">
      <c r="A58" s="23" t="s">
        <v>9</v>
      </c>
      <c r="B58" s="23" t="s">
        <v>1313</v>
      </c>
      <c r="C58" s="23">
        <v>1089811</v>
      </c>
      <c r="D58" s="23" t="s">
        <v>1314</v>
      </c>
      <c r="E58" s="23" t="s">
        <v>26</v>
      </c>
      <c r="F58" s="23" t="s">
        <v>45</v>
      </c>
      <c r="G58" s="24">
        <v>25000</v>
      </c>
    </row>
    <row r="59" spans="1:7" s="23" customFormat="1" x14ac:dyDescent="0.3">
      <c r="A59" s="23" t="s">
        <v>9</v>
      </c>
      <c r="B59" s="23" t="s">
        <v>471</v>
      </c>
      <c r="C59" s="23">
        <v>1089821</v>
      </c>
      <c r="D59" s="23" t="s">
        <v>1312</v>
      </c>
      <c r="E59" s="23" t="s">
        <v>26</v>
      </c>
      <c r="F59" s="23" t="s">
        <v>555</v>
      </c>
      <c r="G59" s="24">
        <v>2500</v>
      </c>
    </row>
    <row r="60" spans="1:7" x14ac:dyDescent="0.3">
      <c r="A60" s="23" t="s">
        <v>9</v>
      </c>
      <c r="B60" s="23" t="s">
        <v>467</v>
      </c>
      <c r="C60" s="23">
        <v>1089824</v>
      </c>
      <c r="D60" s="23" t="s">
        <v>1315</v>
      </c>
      <c r="E60" s="23" t="s">
        <v>26</v>
      </c>
      <c r="F60" s="23" t="s">
        <v>184</v>
      </c>
      <c r="G60" s="24">
        <v>2500</v>
      </c>
    </row>
    <row r="61" spans="1:7" x14ac:dyDescent="0.3">
      <c r="A61" s="23" t="s">
        <v>9</v>
      </c>
      <c r="B61" s="23" t="s">
        <v>471</v>
      </c>
      <c r="C61" s="23">
        <v>1089821</v>
      </c>
      <c r="D61" s="23" t="s">
        <v>1312</v>
      </c>
      <c r="E61" s="23" t="s">
        <v>26</v>
      </c>
      <c r="F61" s="23" t="s">
        <v>231</v>
      </c>
      <c r="G61" s="24">
        <v>2500</v>
      </c>
    </row>
    <row r="62" spans="1:7" x14ac:dyDescent="0.3">
      <c r="A62" s="23" t="s">
        <v>9</v>
      </c>
      <c r="B62" s="23" t="s">
        <v>1316</v>
      </c>
      <c r="C62" s="23">
        <v>1089792</v>
      </c>
      <c r="D62" s="23" t="s">
        <v>1317</v>
      </c>
      <c r="E62" s="23" t="s">
        <v>482</v>
      </c>
      <c r="F62" s="23" t="s">
        <v>231</v>
      </c>
      <c r="G62" s="24">
        <v>2500</v>
      </c>
    </row>
    <row r="63" spans="1:7" x14ac:dyDescent="0.3">
      <c r="A63" s="23" t="s">
        <v>9</v>
      </c>
      <c r="B63" s="23" t="s">
        <v>471</v>
      </c>
      <c r="C63" s="23">
        <v>1089821</v>
      </c>
      <c r="D63" s="23" t="s">
        <v>1312</v>
      </c>
      <c r="E63" s="23" t="s">
        <v>26</v>
      </c>
      <c r="F63" s="23" t="s">
        <v>237</v>
      </c>
      <c r="G63" s="24">
        <v>2500</v>
      </c>
    </row>
    <row r="64" spans="1:7" x14ac:dyDescent="0.3">
      <c r="A64" s="44" t="s">
        <v>185</v>
      </c>
      <c r="B64" s="44" t="s">
        <v>1318</v>
      </c>
      <c r="C64" s="44">
        <v>1089791</v>
      </c>
      <c r="D64" s="44" t="s">
        <v>1319</v>
      </c>
      <c r="E64" s="44" t="s">
        <v>26</v>
      </c>
      <c r="F64" s="44" t="s">
        <v>113</v>
      </c>
      <c r="G64" s="16">
        <v>4000</v>
      </c>
    </row>
    <row r="65" spans="1:7" x14ac:dyDescent="0.3">
      <c r="A65" s="44" t="s">
        <v>185</v>
      </c>
      <c r="B65" s="44" t="s">
        <v>1318</v>
      </c>
      <c r="C65" s="44">
        <v>1089798</v>
      </c>
      <c r="D65" s="44" t="s">
        <v>1320</v>
      </c>
      <c r="E65" s="44" t="s">
        <v>26</v>
      </c>
      <c r="F65" s="44" t="s">
        <v>45</v>
      </c>
      <c r="G65" s="16">
        <v>25000</v>
      </c>
    </row>
    <row r="66" spans="1:7" x14ac:dyDescent="0.3">
      <c r="A66" s="44" t="s">
        <v>185</v>
      </c>
      <c r="B66" s="44" t="s">
        <v>1318</v>
      </c>
      <c r="C66" s="44">
        <v>1089798</v>
      </c>
      <c r="D66" s="44" t="s">
        <v>1320</v>
      </c>
      <c r="E66" s="44" t="s">
        <v>26</v>
      </c>
      <c r="F66" s="44" t="s">
        <v>84</v>
      </c>
      <c r="G66" s="16">
        <v>20000</v>
      </c>
    </row>
    <row r="67" spans="1:7" x14ac:dyDescent="0.3">
      <c r="A67" s="44" t="s">
        <v>185</v>
      </c>
      <c r="B67" s="44" t="s">
        <v>186</v>
      </c>
      <c r="C67" s="44">
        <v>1089842</v>
      </c>
      <c r="D67" s="44" t="s">
        <v>1321</v>
      </c>
      <c r="E67" s="44" t="s">
        <v>60</v>
      </c>
      <c r="F67" s="44" t="s">
        <v>35</v>
      </c>
      <c r="G67" s="16">
        <v>18000</v>
      </c>
    </row>
    <row r="68" spans="1:7" x14ac:dyDescent="0.3">
      <c r="A68" t="s">
        <v>185</v>
      </c>
      <c r="B68" t="s">
        <v>189</v>
      </c>
      <c r="C68">
        <v>1089844</v>
      </c>
      <c r="D68" t="s">
        <v>1322</v>
      </c>
      <c r="E68" t="s">
        <v>26</v>
      </c>
      <c r="F68" t="s">
        <v>1323</v>
      </c>
      <c r="G68" s="16">
        <v>3000</v>
      </c>
    </row>
    <row r="69" spans="1:7" x14ac:dyDescent="0.3">
      <c r="A69" t="s">
        <v>185</v>
      </c>
      <c r="B69" t="s">
        <v>902</v>
      </c>
      <c r="C69">
        <v>1089834</v>
      </c>
      <c r="D69" t="s">
        <v>1324</v>
      </c>
      <c r="E69" t="s">
        <v>26</v>
      </c>
      <c r="F69" t="s">
        <v>1325</v>
      </c>
      <c r="G69" s="16">
        <v>40000</v>
      </c>
    </row>
    <row r="70" spans="1:7" x14ac:dyDescent="0.3">
      <c r="A70" t="s">
        <v>185</v>
      </c>
      <c r="B70" t="s">
        <v>189</v>
      </c>
      <c r="C70">
        <v>1089797</v>
      </c>
      <c r="D70" t="s">
        <v>1326</v>
      </c>
      <c r="E70" t="s">
        <v>26</v>
      </c>
      <c r="F70" t="s">
        <v>596</v>
      </c>
      <c r="G70" s="16">
        <v>3000</v>
      </c>
    </row>
    <row r="71" spans="1:7" x14ac:dyDescent="0.3">
      <c r="A71" t="s">
        <v>185</v>
      </c>
      <c r="B71" t="s">
        <v>902</v>
      </c>
      <c r="C71">
        <v>1089827</v>
      </c>
      <c r="D71" t="s">
        <v>1327</v>
      </c>
      <c r="E71" t="s">
        <v>201</v>
      </c>
      <c r="F71" t="s">
        <v>39</v>
      </c>
      <c r="G71" s="16">
        <v>21000</v>
      </c>
    </row>
    <row r="72" spans="1:7" x14ac:dyDescent="0.3">
      <c r="A72" t="s">
        <v>185</v>
      </c>
      <c r="B72" t="s">
        <v>208</v>
      </c>
      <c r="C72">
        <v>1089810</v>
      </c>
      <c r="D72" t="s">
        <v>1328</v>
      </c>
      <c r="E72" t="s">
        <v>26</v>
      </c>
      <c r="F72" t="s">
        <v>84</v>
      </c>
      <c r="G72" s="16">
        <v>20000</v>
      </c>
    </row>
    <row r="73" spans="1:7" x14ac:dyDescent="0.3">
      <c r="A73" t="s">
        <v>185</v>
      </c>
      <c r="B73" t="s">
        <v>1329</v>
      </c>
      <c r="C73">
        <v>1089822</v>
      </c>
      <c r="D73" t="s">
        <v>1330</v>
      </c>
      <c r="E73" t="s">
        <v>60</v>
      </c>
      <c r="F73" t="s">
        <v>45</v>
      </c>
      <c r="G73" s="16">
        <v>20000</v>
      </c>
    </row>
    <row r="74" spans="1:7" x14ac:dyDescent="0.3">
      <c r="A74" t="s">
        <v>185</v>
      </c>
      <c r="B74" t="s">
        <v>189</v>
      </c>
      <c r="C74">
        <v>1089796</v>
      </c>
      <c r="D74" t="s">
        <v>1331</v>
      </c>
      <c r="E74" t="s">
        <v>26</v>
      </c>
      <c r="F74" t="s">
        <v>124</v>
      </c>
      <c r="G74" s="16">
        <v>3000</v>
      </c>
    </row>
    <row r="75" spans="1:7" x14ac:dyDescent="0.3">
      <c r="A75" t="s">
        <v>185</v>
      </c>
      <c r="B75" t="s">
        <v>189</v>
      </c>
      <c r="C75">
        <v>1089813</v>
      </c>
      <c r="D75" t="s">
        <v>1332</v>
      </c>
      <c r="E75" t="s">
        <v>26</v>
      </c>
      <c r="F75" t="s">
        <v>124</v>
      </c>
      <c r="G75" s="16">
        <v>3000</v>
      </c>
    </row>
    <row r="76" spans="1:7" x14ac:dyDescent="0.3">
      <c r="A76" t="s">
        <v>185</v>
      </c>
      <c r="B76" t="s">
        <v>205</v>
      </c>
      <c r="C76">
        <v>1089805</v>
      </c>
      <c r="D76" t="s">
        <v>1333</v>
      </c>
      <c r="E76" t="s">
        <v>26</v>
      </c>
      <c r="F76" t="s">
        <v>124</v>
      </c>
      <c r="G76" s="16">
        <v>3000</v>
      </c>
    </row>
    <row r="77" spans="1:7" x14ac:dyDescent="0.3">
      <c r="A77" t="s">
        <v>185</v>
      </c>
      <c r="B77" t="s">
        <v>205</v>
      </c>
      <c r="C77">
        <v>1089790</v>
      </c>
      <c r="D77" t="s">
        <v>1334</v>
      </c>
      <c r="E77" t="s">
        <v>201</v>
      </c>
      <c r="F77" t="s">
        <v>124</v>
      </c>
      <c r="G77" s="16">
        <v>4000</v>
      </c>
    </row>
    <row r="78" spans="1:7" x14ac:dyDescent="0.3">
      <c r="A78" t="s">
        <v>185</v>
      </c>
      <c r="B78" t="s">
        <v>344</v>
      </c>
      <c r="C78">
        <v>1089799</v>
      </c>
      <c r="D78" t="s">
        <v>1335</v>
      </c>
      <c r="E78" t="s">
        <v>26</v>
      </c>
      <c r="F78" t="s">
        <v>207</v>
      </c>
      <c r="G78" s="16">
        <v>3000</v>
      </c>
    </row>
    <row r="79" spans="1:7" x14ac:dyDescent="0.3">
      <c r="A79" t="s">
        <v>185</v>
      </c>
      <c r="B79" t="s">
        <v>902</v>
      </c>
      <c r="C79">
        <v>1089782</v>
      </c>
      <c r="D79" t="s">
        <v>1336</v>
      </c>
      <c r="E79" t="s">
        <v>26</v>
      </c>
      <c r="F79" t="s">
        <v>211</v>
      </c>
      <c r="G79" s="16">
        <v>2500</v>
      </c>
    </row>
    <row r="80" spans="1:7" x14ac:dyDescent="0.3">
      <c r="A80" t="s">
        <v>185</v>
      </c>
      <c r="B80" t="s">
        <v>208</v>
      </c>
      <c r="C80">
        <v>1089840</v>
      </c>
      <c r="D80" t="s">
        <v>1337</v>
      </c>
      <c r="E80" t="s">
        <v>210</v>
      </c>
      <c r="F80" t="s">
        <v>211</v>
      </c>
      <c r="G80" s="16">
        <v>2000</v>
      </c>
    </row>
    <row r="81" spans="1:7" x14ac:dyDescent="0.3">
      <c r="A81" t="s">
        <v>185</v>
      </c>
      <c r="B81" t="s">
        <v>208</v>
      </c>
      <c r="C81">
        <v>1089853</v>
      </c>
      <c r="D81" t="s">
        <v>1338</v>
      </c>
      <c r="E81" t="s">
        <v>210</v>
      </c>
      <c r="F81" t="s">
        <v>211</v>
      </c>
      <c r="G81" s="16">
        <v>2000</v>
      </c>
    </row>
    <row r="82" spans="1:7" x14ac:dyDescent="0.3">
      <c r="A82" t="s">
        <v>185</v>
      </c>
      <c r="B82" t="s">
        <v>208</v>
      </c>
      <c r="C82">
        <v>1089851</v>
      </c>
      <c r="D82" t="s">
        <v>1339</v>
      </c>
      <c r="E82" t="s">
        <v>210</v>
      </c>
      <c r="F82" t="s">
        <v>211</v>
      </c>
      <c r="G82" s="16">
        <v>2000</v>
      </c>
    </row>
    <row r="83" spans="1:7" x14ac:dyDescent="0.3">
      <c r="A83" t="s">
        <v>185</v>
      </c>
      <c r="B83" t="s">
        <v>208</v>
      </c>
      <c r="C83">
        <v>1089840</v>
      </c>
      <c r="D83" t="s">
        <v>1337</v>
      </c>
      <c r="E83" t="s">
        <v>210</v>
      </c>
      <c r="F83" t="s">
        <v>373</v>
      </c>
      <c r="G83" s="16">
        <v>4000</v>
      </c>
    </row>
    <row r="84" spans="1:7" x14ac:dyDescent="0.3">
      <c r="A84" t="s">
        <v>185</v>
      </c>
      <c r="B84" t="s">
        <v>208</v>
      </c>
      <c r="C84">
        <v>1089849</v>
      </c>
      <c r="D84" t="s">
        <v>1340</v>
      </c>
      <c r="E84" t="s">
        <v>210</v>
      </c>
      <c r="F84" t="s">
        <v>373</v>
      </c>
      <c r="G84" s="16">
        <v>4000</v>
      </c>
    </row>
    <row r="85" spans="1:7" x14ac:dyDescent="0.3">
      <c r="A85" t="s">
        <v>185</v>
      </c>
      <c r="B85" t="s">
        <v>208</v>
      </c>
      <c r="C85">
        <v>1089843</v>
      </c>
      <c r="D85" t="s">
        <v>1341</v>
      </c>
      <c r="E85" t="s">
        <v>210</v>
      </c>
      <c r="F85" t="s">
        <v>701</v>
      </c>
      <c r="G85" s="16">
        <v>5000</v>
      </c>
    </row>
    <row r="86" spans="1:7" x14ac:dyDescent="0.3">
      <c r="A86" t="s">
        <v>185</v>
      </c>
      <c r="B86" t="s">
        <v>902</v>
      </c>
      <c r="C86">
        <v>1089834</v>
      </c>
      <c r="D86" t="s">
        <v>1324</v>
      </c>
      <c r="E86" t="s">
        <v>26</v>
      </c>
      <c r="F86" t="s">
        <v>1342</v>
      </c>
      <c r="G86" s="16">
        <v>5000</v>
      </c>
    </row>
    <row r="87" spans="1:7" x14ac:dyDescent="0.3">
      <c r="A87" t="s">
        <v>185</v>
      </c>
      <c r="B87" t="s">
        <v>902</v>
      </c>
      <c r="C87">
        <v>1089827</v>
      </c>
      <c r="D87" t="s">
        <v>1327</v>
      </c>
      <c r="E87" t="s">
        <v>201</v>
      </c>
      <c r="F87" t="s">
        <v>141</v>
      </c>
      <c r="G87" s="16">
        <v>2500</v>
      </c>
    </row>
    <row r="88" spans="1:7" x14ac:dyDescent="0.3">
      <c r="A88" t="s">
        <v>185</v>
      </c>
      <c r="B88" t="s">
        <v>902</v>
      </c>
      <c r="C88">
        <v>1089782</v>
      </c>
      <c r="D88" t="s">
        <v>1336</v>
      </c>
      <c r="E88" t="s">
        <v>26</v>
      </c>
      <c r="F88" t="s">
        <v>142</v>
      </c>
      <c r="G88" s="16">
        <v>2000</v>
      </c>
    </row>
    <row r="89" spans="1:7" x14ac:dyDescent="0.3">
      <c r="A89" t="s">
        <v>185</v>
      </c>
      <c r="B89" t="s">
        <v>902</v>
      </c>
      <c r="C89">
        <v>1089800</v>
      </c>
      <c r="D89" t="s">
        <v>1336</v>
      </c>
      <c r="E89" t="s">
        <v>26</v>
      </c>
      <c r="F89" t="s">
        <v>142</v>
      </c>
      <c r="G89" s="16">
        <v>2000</v>
      </c>
    </row>
    <row r="90" spans="1:7" x14ac:dyDescent="0.3">
      <c r="A90" t="s">
        <v>185</v>
      </c>
      <c r="B90" t="s">
        <v>186</v>
      </c>
      <c r="C90">
        <v>1089779</v>
      </c>
      <c r="D90" t="s">
        <v>1343</v>
      </c>
      <c r="E90" t="s">
        <v>160</v>
      </c>
      <c r="F90" t="s">
        <v>494</v>
      </c>
      <c r="G90" s="16">
        <v>2500</v>
      </c>
    </row>
    <row r="91" spans="1:7" x14ac:dyDescent="0.3">
      <c r="A91" t="s">
        <v>185</v>
      </c>
      <c r="B91" t="s">
        <v>902</v>
      </c>
      <c r="C91">
        <v>1089782</v>
      </c>
      <c r="D91" t="s">
        <v>1336</v>
      </c>
      <c r="E91" t="s">
        <v>26</v>
      </c>
      <c r="F91" t="s">
        <v>605</v>
      </c>
      <c r="G91" s="16">
        <v>2500</v>
      </c>
    </row>
    <row r="92" spans="1:7" x14ac:dyDescent="0.3">
      <c r="A92" t="s">
        <v>185</v>
      </c>
      <c r="B92" t="s">
        <v>902</v>
      </c>
      <c r="C92">
        <v>1089800</v>
      </c>
      <c r="D92" t="s">
        <v>1336</v>
      </c>
      <c r="E92" t="s">
        <v>26</v>
      </c>
      <c r="F92" t="s">
        <v>605</v>
      </c>
      <c r="G92" s="16">
        <v>2500</v>
      </c>
    </row>
    <row r="93" spans="1:7" x14ac:dyDescent="0.3">
      <c r="A93" t="s">
        <v>185</v>
      </c>
      <c r="B93" t="s">
        <v>208</v>
      </c>
      <c r="C93">
        <v>1089848</v>
      </c>
      <c r="D93" t="s">
        <v>1344</v>
      </c>
      <c r="E93" t="s">
        <v>210</v>
      </c>
      <c r="F93" t="s">
        <v>605</v>
      </c>
      <c r="G93" s="16">
        <v>2000</v>
      </c>
    </row>
    <row r="94" spans="1:7" x14ac:dyDescent="0.3">
      <c r="A94" t="s">
        <v>185</v>
      </c>
      <c r="B94" t="s">
        <v>902</v>
      </c>
      <c r="C94">
        <v>1089782</v>
      </c>
      <c r="D94" t="s">
        <v>1336</v>
      </c>
      <c r="E94" t="s">
        <v>26</v>
      </c>
      <c r="F94" t="s">
        <v>222</v>
      </c>
      <c r="G94" s="16">
        <v>2500</v>
      </c>
    </row>
    <row r="95" spans="1:7" x14ac:dyDescent="0.3">
      <c r="A95" t="s">
        <v>185</v>
      </c>
      <c r="B95" t="s">
        <v>902</v>
      </c>
      <c r="C95">
        <v>1089829</v>
      </c>
      <c r="D95" t="s">
        <v>1345</v>
      </c>
      <c r="E95" t="s">
        <v>44</v>
      </c>
      <c r="F95" t="s">
        <v>1346</v>
      </c>
      <c r="G95" s="16">
        <v>1500</v>
      </c>
    </row>
    <row r="96" spans="1:7" s="10" customFormat="1" x14ac:dyDescent="0.3">
      <c r="A96" t="s">
        <v>185</v>
      </c>
      <c r="B96" t="s">
        <v>208</v>
      </c>
      <c r="C96">
        <v>1089850</v>
      </c>
      <c r="D96" t="s">
        <v>1347</v>
      </c>
      <c r="E96" t="s">
        <v>210</v>
      </c>
      <c r="F96" t="s">
        <v>150</v>
      </c>
      <c r="G96" s="16">
        <v>2000</v>
      </c>
    </row>
    <row r="97" spans="1:7" x14ac:dyDescent="0.3">
      <c r="A97" t="s">
        <v>185</v>
      </c>
      <c r="B97" t="s">
        <v>208</v>
      </c>
      <c r="C97">
        <v>1089838</v>
      </c>
      <c r="D97" t="s">
        <v>1348</v>
      </c>
      <c r="E97" t="s">
        <v>210</v>
      </c>
      <c r="F97" t="s">
        <v>226</v>
      </c>
      <c r="G97" s="16">
        <v>2000</v>
      </c>
    </row>
    <row r="98" spans="1:7" x14ac:dyDescent="0.3">
      <c r="A98" t="s">
        <v>185</v>
      </c>
      <c r="B98" t="s">
        <v>208</v>
      </c>
      <c r="C98">
        <v>1089841</v>
      </c>
      <c r="D98" t="s">
        <v>1349</v>
      </c>
      <c r="E98" t="s">
        <v>210</v>
      </c>
      <c r="F98" t="s">
        <v>226</v>
      </c>
      <c r="G98" s="16">
        <v>2000</v>
      </c>
    </row>
    <row r="99" spans="1:7" x14ac:dyDescent="0.3">
      <c r="A99" t="s">
        <v>185</v>
      </c>
      <c r="B99" t="s">
        <v>208</v>
      </c>
      <c r="C99">
        <v>1089853</v>
      </c>
      <c r="D99" t="s">
        <v>1338</v>
      </c>
      <c r="E99" t="s">
        <v>210</v>
      </c>
      <c r="F99" t="s">
        <v>229</v>
      </c>
      <c r="G99" s="16">
        <v>2000</v>
      </c>
    </row>
    <row r="100" spans="1:7" x14ac:dyDescent="0.3">
      <c r="A100" t="s">
        <v>185</v>
      </c>
      <c r="B100" t="s">
        <v>610</v>
      </c>
      <c r="C100">
        <v>1089766</v>
      </c>
      <c r="D100" t="s">
        <v>1350</v>
      </c>
      <c r="E100" t="s">
        <v>160</v>
      </c>
      <c r="F100" t="s">
        <v>229</v>
      </c>
      <c r="G100" s="16">
        <v>2500</v>
      </c>
    </row>
    <row r="101" spans="1:7" x14ac:dyDescent="0.3">
      <c r="A101" t="s">
        <v>185</v>
      </c>
      <c r="B101" t="s">
        <v>902</v>
      </c>
      <c r="C101">
        <v>1089800</v>
      </c>
      <c r="D101" t="s">
        <v>1336</v>
      </c>
      <c r="E101" t="s">
        <v>26</v>
      </c>
      <c r="F101" t="s">
        <v>231</v>
      </c>
      <c r="G101" s="16">
        <v>2500</v>
      </c>
    </row>
    <row r="102" spans="1:7" x14ac:dyDescent="0.3">
      <c r="A102" t="s">
        <v>185</v>
      </c>
      <c r="B102" t="s">
        <v>902</v>
      </c>
      <c r="C102">
        <v>1089782</v>
      </c>
      <c r="D102" t="s">
        <v>1336</v>
      </c>
      <c r="E102" t="s">
        <v>26</v>
      </c>
      <c r="F102" t="s">
        <v>233</v>
      </c>
      <c r="G102" s="16">
        <v>2500</v>
      </c>
    </row>
    <row r="103" spans="1:7" x14ac:dyDescent="0.3">
      <c r="A103" t="s">
        <v>185</v>
      </c>
      <c r="B103" t="s">
        <v>902</v>
      </c>
      <c r="C103">
        <v>1089800</v>
      </c>
      <c r="D103" t="s">
        <v>1336</v>
      </c>
      <c r="E103" t="s">
        <v>26</v>
      </c>
      <c r="F103" t="s">
        <v>233</v>
      </c>
      <c r="G103" s="16">
        <v>2500</v>
      </c>
    </row>
    <row r="104" spans="1:7" x14ac:dyDescent="0.3">
      <c r="A104" t="s">
        <v>185</v>
      </c>
      <c r="B104" t="s">
        <v>208</v>
      </c>
      <c r="C104">
        <v>1089852</v>
      </c>
      <c r="D104" t="s">
        <v>1351</v>
      </c>
      <c r="E104" t="s">
        <v>210</v>
      </c>
      <c r="F104" t="s">
        <v>563</v>
      </c>
      <c r="G104" s="16">
        <v>2000</v>
      </c>
    </row>
    <row r="105" spans="1:7" ht="15" thickBot="1" x14ac:dyDescent="0.35">
      <c r="G105" s="17">
        <f>SUM(G2:G104)</f>
        <v>903000</v>
      </c>
    </row>
    <row r="106" spans="1:7" ht="15" thickTop="1" x14ac:dyDescent="0.3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4" workbookViewId="0">
      <selection activeCell="J14" sqref="J14"/>
    </sheetView>
  </sheetViews>
  <sheetFormatPr defaultRowHeight="14.4" x14ac:dyDescent="0.3"/>
  <cols>
    <col min="2" max="2" width="31" bestFit="1" customWidth="1"/>
    <col min="3" max="3" width="8.5546875" customWidth="1"/>
    <col min="4" max="4" width="26.21875" customWidth="1"/>
    <col min="5" max="5" width="17.77734375" customWidth="1"/>
    <col min="6" max="6" width="27.33203125" customWidth="1"/>
    <col min="7" max="7" width="13" customWidth="1"/>
  </cols>
  <sheetData>
    <row r="1" spans="1:10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1352</v>
      </c>
      <c r="C2" s="18">
        <v>1089909</v>
      </c>
      <c r="D2" s="18" t="s">
        <v>1353</v>
      </c>
      <c r="E2" s="18" t="s">
        <v>26</v>
      </c>
      <c r="F2" s="18" t="s">
        <v>31</v>
      </c>
      <c r="G2" s="27">
        <v>7500</v>
      </c>
    </row>
    <row r="3" spans="1:10" s="18" customFormat="1" x14ac:dyDescent="0.3">
      <c r="A3" s="18" t="s">
        <v>11</v>
      </c>
      <c r="B3" s="18" t="s">
        <v>1036</v>
      </c>
      <c r="C3" s="18">
        <v>1089921</v>
      </c>
      <c r="D3" s="18" t="s">
        <v>1354</v>
      </c>
      <c r="E3" s="18" t="s">
        <v>34</v>
      </c>
      <c r="F3" s="18" t="s">
        <v>45</v>
      </c>
      <c r="G3" s="27">
        <v>20000</v>
      </c>
    </row>
    <row r="4" spans="1:10" s="18" customFormat="1" x14ac:dyDescent="0.3">
      <c r="A4" s="18" t="s">
        <v>11</v>
      </c>
      <c r="B4" s="18" t="s">
        <v>1036</v>
      </c>
      <c r="C4" s="18">
        <v>1089893</v>
      </c>
      <c r="D4" s="18" t="s">
        <v>1355</v>
      </c>
      <c r="E4" s="18" t="s">
        <v>26</v>
      </c>
      <c r="F4" s="18" t="s">
        <v>45</v>
      </c>
      <c r="G4" s="27">
        <v>25000</v>
      </c>
    </row>
    <row r="5" spans="1:10" s="18" customFormat="1" x14ac:dyDescent="0.3">
      <c r="A5" s="18" t="s">
        <v>11</v>
      </c>
      <c r="B5" s="18" t="s">
        <v>1356</v>
      </c>
      <c r="C5" s="18">
        <v>1089927</v>
      </c>
      <c r="D5" s="18" t="s">
        <v>1357</v>
      </c>
      <c r="E5" s="18" t="s">
        <v>201</v>
      </c>
      <c r="F5" s="18" t="s">
        <v>195</v>
      </c>
      <c r="G5" s="27">
        <v>24000</v>
      </c>
    </row>
    <row r="6" spans="1:10" s="18" customFormat="1" x14ac:dyDescent="0.3">
      <c r="A6" s="18" t="s">
        <v>1358</v>
      </c>
      <c r="B6" s="18" t="s">
        <v>1359</v>
      </c>
      <c r="C6" s="18">
        <v>1089876</v>
      </c>
      <c r="D6" s="18" t="s">
        <v>1360</v>
      </c>
      <c r="E6" s="18" t="s">
        <v>26</v>
      </c>
      <c r="F6" s="18" t="s">
        <v>285</v>
      </c>
      <c r="G6" s="27">
        <v>4000</v>
      </c>
    </row>
    <row r="7" spans="1:10" s="18" customFormat="1" x14ac:dyDescent="0.3">
      <c r="A7" s="18" t="s">
        <v>11</v>
      </c>
      <c r="B7" s="18" t="s">
        <v>1361</v>
      </c>
      <c r="C7" s="18">
        <v>1089860</v>
      </c>
      <c r="D7" s="18" t="s">
        <v>1362</v>
      </c>
      <c r="E7" s="18" t="s">
        <v>26</v>
      </c>
      <c r="F7" s="18" t="s">
        <v>124</v>
      </c>
      <c r="G7" s="27">
        <v>3000</v>
      </c>
    </row>
    <row r="8" spans="1:10" s="18" customFormat="1" x14ac:dyDescent="0.3">
      <c r="A8" s="18" t="s">
        <v>11</v>
      </c>
      <c r="B8" s="18" t="s">
        <v>1363</v>
      </c>
      <c r="C8" s="18">
        <v>1089881</v>
      </c>
      <c r="D8" s="18" t="s">
        <v>1364</v>
      </c>
      <c r="E8" s="18" t="s">
        <v>26</v>
      </c>
      <c r="F8" s="18" t="s">
        <v>555</v>
      </c>
      <c r="G8" s="27">
        <v>2500</v>
      </c>
    </row>
    <row r="9" spans="1:10" s="18" customFormat="1" x14ac:dyDescent="0.3">
      <c r="A9" s="18" t="s">
        <v>11</v>
      </c>
      <c r="B9" s="18" t="s">
        <v>1365</v>
      </c>
      <c r="C9" s="18">
        <v>1089917</v>
      </c>
      <c r="D9" s="18" t="s">
        <v>1366</v>
      </c>
      <c r="E9" s="18" t="s">
        <v>26</v>
      </c>
      <c r="F9" s="18" t="s">
        <v>142</v>
      </c>
      <c r="G9" s="27">
        <v>2000</v>
      </c>
    </row>
    <row r="10" spans="1:10" s="10" customFormat="1" x14ac:dyDescent="0.3">
      <c r="A10" s="18" t="s">
        <v>11</v>
      </c>
      <c r="B10" s="18" t="s">
        <v>1367</v>
      </c>
      <c r="C10" s="18">
        <v>1089894</v>
      </c>
      <c r="D10" s="18" t="s">
        <v>1368</v>
      </c>
      <c r="E10" s="18" t="s">
        <v>26</v>
      </c>
      <c r="F10" s="18" t="s">
        <v>142</v>
      </c>
      <c r="G10" s="27">
        <v>2000</v>
      </c>
      <c r="H10" s="29"/>
      <c r="J10" s="52"/>
    </row>
    <row r="11" spans="1:10" s="10" customFormat="1" x14ac:dyDescent="0.3">
      <c r="A11" s="10" t="s">
        <v>0</v>
      </c>
      <c r="B11" s="10" t="s">
        <v>271</v>
      </c>
      <c r="C11" s="10">
        <v>1089933</v>
      </c>
      <c r="D11" s="10" t="s">
        <v>1369</v>
      </c>
      <c r="E11" s="10" t="s">
        <v>160</v>
      </c>
      <c r="F11" s="10" t="s">
        <v>48</v>
      </c>
      <c r="G11" s="29">
        <v>2500</v>
      </c>
    </row>
    <row r="12" spans="1:10" s="10" customFormat="1" x14ac:dyDescent="0.3">
      <c r="A12" s="10" t="s">
        <v>0</v>
      </c>
      <c r="B12" s="10" t="s">
        <v>75</v>
      </c>
      <c r="C12" s="10">
        <v>1089870</v>
      </c>
      <c r="D12" s="10" t="s">
        <v>1370</v>
      </c>
      <c r="E12" s="10" t="s">
        <v>26</v>
      </c>
      <c r="F12" s="10" t="s">
        <v>48</v>
      </c>
      <c r="G12" s="29">
        <v>2500</v>
      </c>
    </row>
    <row r="13" spans="1:10" s="10" customFormat="1" x14ac:dyDescent="0.3">
      <c r="A13" s="10" t="s">
        <v>0</v>
      </c>
      <c r="B13" s="10" t="s">
        <v>75</v>
      </c>
      <c r="C13" s="10">
        <v>1089869</v>
      </c>
      <c r="D13" s="10" t="s">
        <v>1371</v>
      </c>
      <c r="E13" s="10" t="s">
        <v>26</v>
      </c>
      <c r="F13" s="10" t="s">
        <v>48</v>
      </c>
      <c r="G13" s="29">
        <v>2500</v>
      </c>
    </row>
    <row r="14" spans="1:10" s="10" customFormat="1" x14ac:dyDescent="0.3">
      <c r="A14" s="10" t="s">
        <v>0</v>
      </c>
      <c r="B14" s="10" t="s">
        <v>1372</v>
      </c>
      <c r="C14" s="10">
        <v>1089923</v>
      </c>
      <c r="D14" s="10" t="s">
        <v>1373</v>
      </c>
      <c r="E14" s="10" t="s">
        <v>26</v>
      </c>
      <c r="F14" s="10" t="s">
        <v>1110</v>
      </c>
      <c r="G14" s="29">
        <v>6000</v>
      </c>
    </row>
    <row r="15" spans="1:10" s="10" customFormat="1" x14ac:dyDescent="0.3">
      <c r="A15" s="10" t="s">
        <v>0</v>
      </c>
      <c r="B15" s="10" t="s">
        <v>1374</v>
      </c>
      <c r="C15" s="10">
        <v>1089879</v>
      </c>
      <c r="D15" s="10">
        <v>1200643</v>
      </c>
      <c r="E15" s="10" t="s">
        <v>26</v>
      </c>
      <c r="F15" s="10" t="s">
        <v>465</v>
      </c>
      <c r="G15" s="29">
        <v>14000</v>
      </c>
    </row>
    <row r="16" spans="1:10" s="10" customFormat="1" x14ac:dyDescent="0.3">
      <c r="A16" s="10" t="s">
        <v>0</v>
      </c>
      <c r="B16" s="10" t="s">
        <v>1375</v>
      </c>
      <c r="C16" s="10">
        <v>1089904</v>
      </c>
      <c r="D16" s="10" t="s">
        <v>1376</v>
      </c>
      <c r="E16" s="10" t="s">
        <v>26</v>
      </c>
      <c r="F16" s="10" t="s">
        <v>51</v>
      </c>
      <c r="G16" s="29">
        <v>15000</v>
      </c>
    </row>
    <row r="17" spans="1:7" s="10" customFormat="1" x14ac:dyDescent="0.3">
      <c r="A17" s="10" t="s">
        <v>0</v>
      </c>
      <c r="B17" s="10" t="s">
        <v>271</v>
      </c>
      <c r="C17" s="10">
        <v>1089935</v>
      </c>
      <c r="D17" s="10" t="s">
        <v>1377</v>
      </c>
      <c r="E17" s="10" t="s">
        <v>305</v>
      </c>
      <c r="F17" s="10" t="s">
        <v>51</v>
      </c>
      <c r="G17" s="29">
        <v>18000</v>
      </c>
    </row>
    <row r="18" spans="1:7" s="10" customFormat="1" x14ac:dyDescent="0.3">
      <c r="A18" s="10" t="s">
        <v>0</v>
      </c>
      <c r="B18" s="10" t="s">
        <v>510</v>
      </c>
      <c r="C18" s="10">
        <v>1089880</v>
      </c>
      <c r="D18" s="10" t="s">
        <v>1378</v>
      </c>
      <c r="E18" s="10" t="s">
        <v>26</v>
      </c>
      <c r="F18" s="10" t="s">
        <v>27</v>
      </c>
      <c r="G18" s="29">
        <v>12000</v>
      </c>
    </row>
    <row r="19" spans="1:7" s="10" customFormat="1" x14ac:dyDescent="0.3">
      <c r="A19" s="10" t="s">
        <v>0</v>
      </c>
      <c r="B19" s="10" t="s">
        <v>510</v>
      </c>
      <c r="C19" s="10">
        <v>1089925</v>
      </c>
      <c r="D19" s="10" t="s">
        <v>1379</v>
      </c>
      <c r="E19" s="10" t="s">
        <v>26</v>
      </c>
      <c r="F19" s="10" t="s">
        <v>27</v>
      </c>
      <c r="G19" s="29">
        <v>12000</v>
      </c>
    </row>
    <row r="20" spans="1:7" s="10" customFormat="1" x14ac:dyDescent="0.3">
      <c r="A20" s="10" t="s">
        <v>0</v>
      </c>
      <c r="B20" s="10" t="s">
        <v>1380</v>
      </c>
      <c r="C20" s="10">
        <v>1089910</v>
      </c>
      <c r="D20" s="10" t="s">
        <v>1381</v>
      </c>
      <c r="E20" s="10" t="s">
        <v>34</v>
      </c>
      <c r="F20" s="10" t="s">
        <v>65</v>
      </c>
      <c r="G20" s="29">
        <v>8000</v>
      </c>
    </row>
    <row r="21" spans="1:7" s="10" customFormat="1" x14ac:dyDescent="0.3">
      <c r="A21" s="10" t="s">
        <v>0</v>
      </c>
      <c r="B21" s="10" t="s">
        <v>77</v>
      </c>
      <c r="C21" s="10">
        <v>1089888</v>
      </c>
      <c r="D21" s="10" t="s">
        <v>1382</v>
      </c>
      <c r="E21" s="10" t="s">
        <v>26</v>
      </c>
      <c r="F21" s="10" t="s">
        <v>266</v>
      </c>
      <c r="G21" s="29">
        <v>15000</v>
      </c>
    </row>
    <row r="22" spans="1:7" s="10" customFormat="1" x14ac:dyDescent="0.3">
      <c r="A22" s="10" t="s">
        <v>0</v>
      </c>
      <c r="B22" s="10" t="s">
        <v>1383</v>
      </c>
      <c r="C22" s="10">
        <v>1089857</v>
      </c>
      <c r="D22" s="10" t="s">
        <v>1384</v>
      </c>
      <c r="E22" s="10" t="s">
        <v>26</v>
      </c>
      <c r="F22" s="10" t="s">
        <v>1385</v>
      </c>
      <c r="G22" s="29">
        <v>25000</v>
      </c>
    </row>
    <row r="23" spans="1:7" s="10" customFormat="1" x14ac:dyDescent="0.3">
      <c r="A23" s="10" t="s">
        <v>0</v>
      </c>
      <c r="B23" s="10" t="s">
        <v>1383</v>
      </c>
      <c r="C23" s="10">
        <v>1089857</v>
      </c>
      <c r="D23" s="10" t="s">
        <v>1384</v>
      </c>
      <c r="E23" s="10" t="s">
        <v>26</v>
      </c>
      <c r="F23" s="10" t="s">
        <v>280</v>
      </c>
      <c r="G23" s="29">
        <v>18000</v>
      </c>
    </row>
    <row r="24" spans="1:7" s="10" customFormat="1" x14ac:dyDescent="0.3">
      <c r="A24" s="10" t="s">
        <v>0</v>
      </c>
      <c r="B24" s="10" t="s">
        <v>1386</v>
      </c>
      <c r="C24" s="10">
        <v>1089882</v>
      </c>
      <c r="D24" s="10" t="s">
        <v>1387</v>
      </c>
      <c r="E24" s="10" t="s">
        <v>34</v>
      </c>
      <c r="F24" s="10" t="s">
        <v>74</v>
      </c>
      <c r="G24" s="29">
        <v>18000</v>
      </c>
    </row>
    <row r="25" spans="1:7" s="10" customFormat="1" x14ac:dyDescent="0.3">
      <c r="A25" s="10" t="s">
        <v>0</v>
      </c>
      <c r="B25" s="10" t="s">
        <v>114</v>
      </c>
      <c r="C25" s="10">
        <v>1089918</v>
      </c>
      <c r="D25" s="10" t="s">
        <v>1388</v>
      </c>
      <c r="E25" s="10" t="s">
        <v>26</v>
      </c>
      <c r="F25" s="10" t="s">
        <v>74</v>
      </c>
      <c r="G25" s="29">
        <v>20000</v>
      </c>
    </row>
    <row r="26" spans="1:7" s="10" customFormat="1" x14ac:dyDescent="0.3">
      <c r="A26" s="10" t="s">
        <v>0</v>
      </c>
      <c r="B26" s="10" t="s">
        <v>1152</v>
      </c>
      <c r="C26" s="10">
        <v>1089872</v>
      </c>
      <c r="D26" s="10" t="s">
        <v>1389</v>
      </c>
      <c r="E26" s="10" t="s">
        <v>26</v>
      </c>
      <c r="F26" s="10" t="s">
        <v>74</v>
      </c>
      <c r="G26" s="29">
        <v>20000</v>
      </c>
    </row>
    <row r="27" spans="1:7" s="10" customFormat="1" x14ac:dyDescent="0.3">
      <c r="A27" s="10" t="s">
        <v>0</v>
      </c>
      <c r="B27" s="10" t="s">
        <v>1390</v>
      </c>
      <c r="D27" s="10" t="s">
        <v>1391</v>
      </c>
      <c r="E27" s="10" t="s">
        <v>26</v>
      </c>
      <c r="F27" s="10" t="s">
        <v>74</v>
      </c>
      <c r="G27" s="29">
        <v>15000</v>
      </c>
    </row>
    <row r="28" spans="1:7" s="10" customFormat="1" x14ac:dyDescent="0.3">
      <c r="A28" s="10" t="s">
        <v>0</v>
      </c>
      <c r="B28" s="10" t="s">
        <v>273</v>
      </c>
      <c r="C28" s="10">
        <v>1089885</v>
      </c>
      <c r="D28" s="10" t="s">
        <v>1392</v>
      </c>
      <c r="E28" s="10" t="s">
        <v>34</v>
      </c>
      <c r="F28" s="10" t="s">
        <v>366</v>
      </c>
      <c r="G28" s="29">
        <v>18000</v>
      </c>
    </row>
    <row r="29" spans="1:7" s="10" customFormat="1" x14ac:dyDescent="0.3">
      <c r="A29" s="10" t="s">
        <v>0</v>
      </c>
      <c r="B29" s="10" t="s">
        <v>273</v>
      </c>
      <c r="C29" s="10">
        <v>1089887</v>
      </c>
      <c r="D29" s="10" t="s">
        <v>1393</v>
      </c>
      <c r="E29" s="10" t="s">
        <v>34</v>
      </c>
      <c r="F29" s="10" t="s">
        <v>663</v>
      </c>
      <c r="G29" s="29">
        <v>18000</v>
      </c>
    </row>
    <row r="30" spans="1:7" s="10" customFormat="1" x14ac:dyDescent="0.3">
      <c r="A30" s="10" t="s">
        <v>0</v>
      </c>
      <c r="B30" s="10" t="s">
        <v>1394</v>
      </c>
      <c r="C30" s="10">
        <v>1089862</v>
      </c>
      <c r="D30" s="10" t="s">
        <v>1395</v>
      </c>
      <c r="E30" s="10" t="s">
        <v>34</v>
      </c>
      <c r="F30" s="10" t="s">
        <v>39</v>
      </c>
      <c r="G30" s="29">
        <v>18000</v>
      </c>
    </row>
    <row r="31" spans="1:7" s="10" customFormat="1" x14ac:dyDescent="0.3">
      <c r="A31" s="10" t="s">
        <v>0</v>
      </c>
      <c r="B31" s="10" t="s">
        <v>273</v>
      </c>
      <c r="C31" s="10">
        <v>1089855</v>
      </c>
      <c r="D31" s="10" t="s">
        <v>1396</v>
      </c>
      <c r="E31" s="10" t="s">
        <v>160</v>
      </c>
      <c r="F31" s="10" t="s">
        <v>84</v>
      </c>
      <c r="G31" s="29">
        <v>18000</v>
      </c>
    </row>
    <row r="32" spans="1:7" s="23" customFormat="1" x14ac:dyDescent="0.3">
      <c r="A32" s="10" t="s">
        <v>0</v>
      </c>
      <c r="B32" s="10" t="s">
        <v>367</v>
      </c>
      <c r="C32" s="10">
        <v>1089861</v>
      </c>
      <c r="D32" s="10" t="s">
        <v>1397</v>
      </c>
      <c r="E32" s="10" t="s">
        <v>1398</v>
      </c>
      <c r="F32" s="10" t="s">
        <v>84</v>
      </c>
      <c r="G32" s="29">
        <v>22000</v>
      </c>
    </row>
    <row r="33" spans="1:7" s="10" customFormat="1" x14ac:dyDescent="0.3">
      <c r="A33" s="10" t="s">
        <v>0</v>
      </c>
      <c r="B33" s="10" t="s">
        <v>367</v>
      </c>
      <c r="C33" s="10">
        <v>1089861</v>
      </c>
      <c r="D33" s="10" t="s">
        <v>1397</v>
      </c>
      <c r="E33" s="10" t="s">
        <v>1398</v>
      </c>
      <c r="F33" s="10" t="s">
        <v>45</v>
      </c>
      <c r="G33" s="29">
        <v>25000</v>
      </c>
    </row>
    <row r="34" spans="1:7" s="10" customFormat="1" x14ac:dyDescent="0.3">
      <c r="A34" s="10" t="s">
        <v>0</v>
      </c>
      <c r="B34" s="10" t="s">
        <v>117</v>
      </c>
      <c r="C34" s="10">
        <v>1089868</v>
      </c>
      <c r="D34" s="10" t="s">
        <v>1399</v>
      </c>
      <c r="E34" s="10" t="s">
        <v>26</v>
      </c>
      <c r="F34" s="10" t="s">
        <v>45</v>
      </c>
      <c r="G34" s="29">
        <v>25000</v>
      </c>
    </row>
    <row r="35" spans="1:7" s="10" customFormat="1" x14ac:dyDescent="0.3">
      <c r="A35" s="10" t="s">
        <v>0</v>
      </c>
      <c r="B35" s="10" t="s">
        <v>640</v>
      </c>
      <c r="C35" s="10">
        <v>1089919</v>
      </c>
      <c r="D35" s="10" t="s">
        <v>1400</v>
      </c>
      <c r="E35" s="10" t="s">
        <v>160</v>
      </c>
      <c r="F35" s="10" t="s">
        <v>45</v>
      </c>
      <c r="G35" s="29">
        <v>20000</v>
      </c>
    </row>
    <row r="36" spans="1:7" s="10" customFormat="1" x14ac:dyDescent="0.3">
      <c r="A36" s="10" t="s">
        <v>0</v>
      </c>
      <c r="B36" s="10" t="s">
        <v>273</v>
      </c>
      <c r="C36" s="10">
        <v>1089855</v>
      </c>
      <c r="D36" s="10" t="s">
        <v>1396</v>
      </c>
      <c r="E36" s="10" t="s">
        <v>160</v>
      </c>
      <c r="F36" s="10" t="s">
        <v>793</v>
      </c>
      <c r="G36" s="29">
        <v>18000</v>
      </c>
    </row>
    <row r="37" spans="1:7" s="10" customFormat="1" x14ac:dyDescent="0.3">
      <c r="A37" s="10" t="s">
        <v>0</v>
      </c>
      <c r="B37" s="10" t="s">
        <v>271</v>
      </c>
      <c r="C37" s="10">
        <v>1089875</v>
      </c>
      <c r="D37" s="10" t="s">
        <v>1401</v>
      </c>
      <c r="E37" s="10" t="s">
        <v>26</v>
      </c>
      <c r="F37" s="10" t="s">
        <v>104</v>
      </c>
      <c r="G37" s="29">
        <v>3000</v>
      </c>
    </row>
    <row r="38" spans="1:7" s="10" customFormat="1" x14ac:dyDescent="0.3">
      <c r="A38" s="10" t="s">
        <v>0</v>
      </c>
      <c r="B38" s="10" t="s">
        <v>105</v>
      </c>
      <c r="C38" s="10">
        <v>1089897</v>
      </c>
      <c r="D38" s="10" t="s">
        <v>1402</v>
      </c>
      <c r="E38" s="10" t="s">
        <v>26</v>
      </c>
      <c r="F38" s="10" t="s">
        <v>104</v>
      </c>
      <c r="G38" s="29">
        <v>3000</v>
      </c>
    </row>
    <row r="39" spans="1:7" s="10" customFormat="1" x14ac:dyDescent="0.3">
      <c r="A39" s="10" t="s">
        <v>0</v>
      </c>
      <c r="B39" s="10" t="s">
        <v>271</v>
      </c>
      <c r="C39" s="10">
        <v>1089934</v>
      </c>
      <c r="D39" s="10" t="s">
        <v>1403</v>
      </c>
      <c r="E39" s="10" t="s">
        <v>26</v>
      </c>
      <c r="F39" s="10" t="s">
        <v>104</v>
      </c>
      <c r="G39" s="29">
        <v>3000</v>
      </c>
    </row>
    <row r="40" spans="1:7" s="10" customFormat="1" x14ac:dyDescent="0.3">
      <c r="A40" s="10" t="s">
        <v>0</v>
      </c>
      <c r="B40" s="10" t="s">
        <v>1404</v>
      </c>
      <c r="C40" s="10">
        <v>1089908</v>
      </c>
      <c r="D40" s="10" t="s">
        <v>1405</v>
      </c>
      <c r="E40" s="10" t="s">
        <v>26</v>
      </c>
      <c r="F40" s="10" t="s">
        <v>104</v>
      </c>
      <c r="G40" s="29">
        <v>3000</v>
      </c>
    </row>
    <row r="41" spans="1:7" s="10" customFormat="1" x14ac:dyDescent="0.3">
      <c r="A41" s="10" t="s">
        <v>0</v>
      </c>
      <c r="B41" s="10" t="s">
        <v>802</v>
      </c>
      <c r="C41" s="10">
        <v>1089883</v>
      </c>
      <c r="D41" s="10" t="s">
        <v>1406</v>
      </c>
      <c r="E41" s="10" t="s">
        <v>26</v>
      </c>
      <c r="F41" s="10" t="s">
        <v>104</v>
      </c>
      <c r="G41" s="29">
        <v>3000</v>
      </c>
    </row>
    <row r="42" spans="1:7" s="10" customFormat="1" x14ac:dyDescent="0.3">
      <c r="A42" s="10" t="s">
        <v>0</v>
      </c>
      <c r="B42" s="10" t="s">
        <v>77</v>
      </c>
      <c r="C42" s="10">
        <v>1089920</v>
      </c>
      <c r="D42" s="10" t="s">
        <v>1407</v>
      </c>
      <c r="E42" s="10" t="s">
        <v>26</v>
      </c>
      <c r="F42" s="10" t="s">
        <v>110</v>
      </c>
      <c r="G42" s="29">
        <v>6000</v>
      </c>
    </row>
    <row r="43" spans="1:7" s="10" customFormat="1" x14ac:dyDescent="0.3">
      <c r="A43" s="10" t="s">
        <v>0</v>
      </c>
      <c r="B43" s="10" t="s">
        <v>75</v>
      </c>
      <c r="C43" s="10">
        <v>1089869</v>
      </c>
      <c r="D43" s="10" t="s">
        <v>1371</v>
      </c>
      <c r="E43" s="10" t="s">
        <v>26</v>
      </c>
      <c r="F43" s="10" t="s">
        <v>110</v>
      </c>
      <c r="G43" s="29">
        <v>6000</v>
      </c>
    </row>
    <row r="44" spans="1:7" s="10" customFormat="1" x14ac:dyDescent="0.3">
      <c r="A44" s="10" t="s">
        <v>0</v>
      </c>
      <c r="B44" s="10" t="s">
        <v>75</v>
      </c>
      <c r="C44" s="10">
        <v>1089870</v>
      </c>
      <c r="D44" s="10" t="s">
        <v>1370</v>
      </c>
      <c r="E44" s="10" t="s">
        <v>26</v>
      </c>
      <c r="F44" s="10" t="s">
        <v>110</v>
      </c>
      <c r="G44" s="29">
        <v>6000</v>
      </c>
    </row>
    <row r="45" spans="1:7" s="10" customFormat="1" x14ac:dyDescent="0.3">
      <c r="A45" s="10" t="s">
        <v>0</v>
      </c>
      <c r="B45" s="10" t="s">
        <v>1408</v>
      </c>
      <c r="C45" s="10">
        <v>1089905</v>
      </c>
      <c r="D45" s="10" t="s">
        <v>1409</v>
      </c>
      <c r="E45" s="10" t="s">
        <v>26</v>
      </c>
      <c r="F45" s="10" t="s">
        <v>113</v>
      </c>
      <c r="G45" s="29">
        <v>4000</v>
      </c>
    </row>
    <row r="46" spans="1:7" s="10" customFormat="1" x14ac:dyDescent="0.3">
      <c r="A46" s="10" t="s">
        <v>0</v>
      </c>
      <c r="B46" s="10" t="s">
        <v>271</v>
      </c>
      <c r="C46" s="10">
        <v>1089933</v>
      </c>
      <c r="D46" s="10" t="s">
        <v>1369</v>
      </c>
      <c r="E46" s="10" t="s">
        <v>160</v>
      </c>
      <c r="F46" s="10" t="s">
        <v>119</v>
      </c>
      <c r="G46" s="29">
        <v>4000</v>
      </c>
    </row>
    <row r="47" spans="1:7" s="10" customFormat="1" x14ac:dyDescent="0.3">
      <c r="A47" s="10" t="s">
        <v>0</v>
      </c>
      <c r="B47" s="10" t="s">
        <v>125</v>
      </c>
      <c r="C47" s="10">
        <v>1089926</v>
      </c>
      <c r="D47" s="10" t="s">
        <v>843</v>
      </c>
      <c r="E47" s="10" t="s">
        <v>34</v>
      </c>
      <c r="F47" s="10" t="s">
        <v>124</v>
      </c>
      <c r="G47" s="29">
        <v>4000</v>
      </c>
    </row>
    <row r="48" spans="1:7" s="10" customFormat="1" x14ac:dyDescent="0.3">
      <c r="A48" s="10" t="s">
        <v>0</v>
      </c>
      <c r="B48" s="10" t="s">
        <v>122</v>
      </c>
      <c r="C48" s="10">
        <v>1089873</v>
      </c>
      <c r="D48" s="10" t="s">
        <v>1410</v>
      </c>
      <c r="E48" s="10" t="s">
        <v>26</v>
      </c>
      <c r="F48" s="10" t="s">
        <v>124</v>
      </c>
      <c r="G48" s="29">
        <v>3000</v>
      </c>
    </row>
    <row r="49" spans="1:7" s="10" customFormat="1" x14ac:dyDescent="0.3">
      <c r="A49" s="10" t="s">
        <v>0</v>
      </c>
      <c r="B49" s="10" t="s">
        <v>122</v>
      </c>
      <c r="C49" s="10">
        <v>1089900</v>
      </c>
      <c r="D49" s="10" t="s">
        <v>1411</v>
      </c>
      <c r="E49" s="10" t="s">
        <v>26</v>
      </c>
      <c r="F49" s="10" t="s">
        <v>124</v>
      </c>
      <c r="G49" s="29">
        <v>3000</v>
      </c>
    </row>
    <row r="50" spans="1:7" s="10" customFormat="1" x14ac:dyDescent="0.3">
      <c r="A50" s="10" t="s">
        <v>0</v>
      </c>
      <c r="B50" s="10" t="s">
        <v>125</v>
      </c>
      <c r="C50" s="10">
        <v>1089906</v>
      </c>
      <c r="D50" s="10" t="s">
        <v>288</v>
      </c>
      <c r="E50" s="10" t="s">
        <v>26</v>
      </c>
      <c r="F50" s="10" t="s">
        <v>124</v>
      </c>
      <c r="G50" s="29">
        <v>3000</v>
      </c>
    </row>
    <row r="51" spans="1:7" s="23" customFormat="1" x14ac:dyDescent="0.3">
      <c r="A51" s="10" t="s">
        <v>0</v>
      </c>
      <c r="B51" s="10" t="s">
        <v>127</v>
      </c>
      <c r="C51" s="10">
        <v>1089914</v>
      </c>
      <c r="D51" s="10" t="s">
        <v>1412</v>
      </c>
      <c r="E51" s="10" t="s">
        <v>201</v>
      </c>
      <c r="F51" s="10" t="s">
        <v>124</v>
      </c>
      <c r="G51" s="29">
        <v>4000</v>
      </c>
    </row>
    <row r="52" spans="1:7" s="23" customFormat="1" x14ac:dyDescent="0.3">
      <c r="A52" s="10" t="s">
        <v>0</v>
      </c>
      <c r="B52" s="10" t="s">
        <v>1065</v>
      </c>
      <c r="C52" s="10">
        <v>1089930</v>
      </c>
      <c r="D52" s="10" t="s">
        <v>1413</v>
      </c>
      <c r="E52" s="10" t="s">
        <v>26</v>
      </c>
      <c r="F52" s="10" t="s">
        <v>129</v>
      </c>
      <c r="G52" s="29">
        <v>3000</v>
      </c>
    </row>
    <row r="53" spans="1:7" s="10" customFormat="1" x14ac:dyDescent="0.3">
      <c r="A53" s="10" t="s">
        <v>0</v>
      </c>
      <c r="B53" s="10" t="s">
        <v>127</v>
      </c>
      <c r="C53" s="10">
        <v>1089884</v>
      </c>
      <c r="D53" s="10" t="s">
        <v>1414</v>
      </c>
      <c r="E53" s="10" t="s">
        <v>26</v>
      </c>
      <c r="F53" s="10" t="s">
        <v>129</v>
      </c>
      <c r="G53" s="29">
        <v>3000</v>
      </c>
    </row>
    <row r="54" spans="1:7" s="10" customFormat="1" x14ac:dyDescent="0.3">
      <c r="A54" s="10" t="s">
        <v>0</v>
      </c>
      <c r="B54" s="10" t="s">
        <v>127</v>
      </c>
      <c r="C54" s="10">
        <v>1089899</v>
      </c>
      <c r="D54" s="10" t="s">
        <v>1414</v>
      </c>
      <c r="E54" s="10" t="s">
        <v>26</v>
      </c>
      <c r="F54" s="10" t="s">
        <v>129</v>
      </c>
      <c r="G54" s="29">
        <v>3000</v>
      </c>
    </row>
    <row r="55" spans="1:7" s="10" customFormat="1" x14ac:dyDescent="0.3">
      <c r="A55" s="10" t="s">
        <v>0</v>
      </c>
      <c r="B55" s="10" t="s">
        <v>127</v>
      </c>
      <c r="C55" s="10">
        <v>1089874</v>
      </c>
      <c r="D55" s="10" t="s">
        <v>1415</v>
      </c>
      <c r="E55" s="10" t="s">
        <v>652</v>
      </c>
      <c r="F55" s="10" t="s">
        <v>134</v>
      </c>
      <c r="G55" s="29">
        <v>4000</v>
      </c>
    </row>
    <row r="56" spans="1:7" s="10" customFormat="1" x14ac:dyDescent="0.3">
      <c r="A56" s="10" t="s">
        <v>0</v>
      </c>
      <c r="B56" s="10" t="s">
        <v>694</v>
      </c>
      <c r="C56" s="10">
        <v>1089928</v>
      </c>
      <c r="D56" s="10" t="s">
        <v>1416</v>
      </c>
      <c r="E56" s="10" t="s">
        <v>79</v>
      </c>
      <c r="F56" s="10" t="s">
        <v>550</v>
      </c>
      <c r="G56" s="29">
        <v>4000</v>
      </c>
    </row>
    <row r="57" spans="1:7" s="10" customFormat="1" x14ac:dyDescent="0.3">
      <c r="A57" s="10" t="s">
        <v>0</v>
      </c>
      <c r="B57" s="10" t="s">
        <v>1417</v>
      </c>
      <c r="C57" s="10">
        <v>1089854</v>
      </c>
      <c r="D57" s="10" t="s">
        <v>1418</v>
      </c>
      <c r="E57" s="10" t="s">
        <v>34</v>
      </c>
      <c r="F57" s="10" t="s">
        <v>142</v>
      </c>
      <c r="G57" s="29">
        <v>1800</v>
      </c>
    </row>
    <row r="58" spans="1:7" s="10" customFormat="1" x14ac:dyDescent="0.3">
      <c r="A58" s="10" t="s">
        <v>0</v>
      </c>
      <c r="B58" s="10" t="s">
        <v>268</v>
      </c>
      <c r="C58" s="10">
        <v>1089871</v>
      </c>
      <c r="D58" s="10" t="s">
        <v>1419</v>
      </c>
      <c r="E58" s="10" t="s">
        <v>26</v>
      </c>
      <c r="F58" s="10" t="s">
        <v>142</v>
      </c>
      <c r="G58" s="29">
        <v>2000</v>
      </c>
    </row>
    <row r="59" spans="1:7" s="10" customFormat="1" x14ac:dyDescent="0.3">
      <c r="A59" s="10" t="s">
        <v>0</v>
      </c>
      <c r="B59" s="10" t="s">
        <v>802</v>
      </c>
      <c r="C59" s="10">
        <v>1089883</v>
      </c>
      <c r="D59" s="10" t="s">
        <v>1406</v>
      </c>
      <c r="E59" s="10" t="s">
        <v>26</v>
      </c>
      <c r="F59" s="10" t="s">
        <v>142</v>
      </c>
      <c r="G59" s="29">
        <v>2000</v>
      </c>
    </row>
    <row r="60" spans="1:7" s="10" customFormat="1" x14ac:dyDescent="0.3">
      <c r="A60" s="10" t="s">
        <v>0</v>
      </c>
      <c r="B60" s="10" t="s">
        <v>1420</v>
      </c>
      <c r="C60" s="10">
        <v>1089911</v>
      </c>
      <c r="D60" s="10" t="s">
        <v>1421</v>
      </c>
      <c r="E60" s="10" t="s">
        <v>26</v>
      </c>
      <c r="F60" s="10" t="s">
        <v>142</v>
      </c>
      <c r="G60" s="29">
        <v>2000</v>
      </c>
    </row>
    <row r="61" spans="1:7" s="10" customFormat="1" x14ac:dyDescent="0.3">
      <c r="A61" s="10" t="s">
        <v>0</v>
      </c>
      <c r="B61" s="10" t="s">
        <v>1422</v>
      </c>
      <c r="C61" s="10">
        <v>1089867</v>
      </c>
      <c r="D61" s="10" t="s">
        <v>1423</v>
      </c>
      <c r="E61" s="10" t="s">
        <v>26</v>
      </c>
      <c r="F61" s="10" t="s">
        <v>557</v>
      </c>
      <c r="G61" s="29">
        <v>2500</v>
      </c>
    </row>
    <row r="62" spans="1:7" s="23" customFormat="1" x14ac:dyDescent="0.3">
      <c r="A62" s="10" t="s">
        <v>0</v>
      </c>
      <c r="B62" s="10" t="s">
        <v>1424</v>
      </c>
      <c r="C62" s="10">
        <v>1089865</v>
      </c>
      <c r="D62" s="10" t="s">
        <v>1425</v>
      </c>
      <c r="E62" s="10" t="s">
        <v>26</v>
      </c>
      <c r="F62" s="10" t="s">
        <v>563</v>
      </c>
      <c r="G62" s="29">
        <v>2500</v>
      </c>
    </row>
    <row r="63" spans="1:7" s="23" customFormat="1" x14ac:dyDescent="0.3">
      <c r="A63" s="23" t="s">
        <v>9</v>
      </c>
      <c r="B63" s="23" t="s">
        <v>720</v>
      </c>
      <c r="C63" s="23">
        <v>1089895</v>
      </c>
      <c r="D63" s="23" t="s">
        <v>1426</v>
      </c>
      <c r="E63" s="23" t="s">
        <v>26</v>
      </c>
      <c r="F63" s="23" t="s">
        <v>48</v>
      </c>
      <c r="G63" s="30">
        <v>2500</v>
      </c>
    </row>
    <row r="64" spans="1:7" s="23" customFormat="1" x14ac:dyDescent="0.3">
      <c r="A64" s="23" t="s">
        <v>9</v>
      </c>
      <c r="B64" s="23" t="s">
        <v>1427</v>
      </c>
      <c r="C64" s="23">
        <v>1089907</v>
      </c>
      <c r="D64" s="23" t="s">
        <v>1428</v>
      </c>
      <c r="E64" s="23" t="s">
        <v>26</v>
      </c>
      <c r="F64" s="23" t="s">
        <v>566</v>
      </c>
      <c r="G64" s="30">
        <v>13000</v>
      </c>
    </row>
    <row r="65" spans="1:7" s="23" customFormat="1" x14ac:dyDescent="0.3">
      <c r="A65" s="23" t="s">
        <v>9</v>
      </c>
      <c r="B65" s="23" t="s">
        <v>1212</v>
      </c>
      <c r="C65" s="23">
        <v>1089922</v>
      </c>
      <c r="D65" s="23" t="s">
        <v>1429</v>
      </c>
      <c r="E65" s="23" t="s">
        <v>26</v>
      </c>
      <c r="F65" s="23" t="s">
        <v>71</v>
      </c>
      <c r="G65" s="30">
        <v>6500</v>
      </c>
    </row>
    <row r="66" spans="1:7" s="23" customFormat="1" x14ac:dyDescent="0.3">
      <c r="A66" s="23" t="s">
        <v>9</v>
      </c>
      <c r="B66" s="23" t="s">
        <v>174</v>
      </c>
      <c r="C66" s="23">
        <v>1089890</v>
      </c>
      <c r="D66" s="23" t="s">
        <v>1430</v>
      </c>
      <c r="E66" s="23" t="s">
        <v>26</v>
      </c>
      <c r="F66" s="23" t="s">
        <v>31</v>
      </c>
      <c r="G66" s="30">
        <v>7500</v>
      </c>
    </row>
    <row r="67" spans="1:7" s="23" customFormat="1" x14ac:dyDescent="0.3">
      <c r="A67" s="23" t="s">
        <v>9</v>
      </c>
      <c r="B67" s="23" t="s">
        <v>1431</v>
      </c>
      <c r="C67" s="23">
        <v>1089859</v>
      </c>
      <c r="D67" s="23" t="s">
        <v>1432</v>
      </c>
      <c r="E67" s="23" t="s">
        <v>26</v>
      </c>
      <c r="F67" s="23" t="s">
        <v>1433</v>
      </c>
      <c r="G67" s="30">
        <v>38000</v>
      </c>
    </row>
    <row r="68" spans="1:7" x14ac:dyDescent="0.3">
      <c r="A68" s="23" t="s">
        <v>9</v>
      </c>
      <c r="B68" s="23" t="s">
        <v>1078</v>
      </c>
      <c r="C68" s="23">
        <v>1089892</v>
      </c>
      <c r="D68" s="23" t="s">
        <v>1434</v>
      </c>
      <c r="E68" s="23" t="s">
        <v>26</v>
      </c>
      <c r="F68" s="23" t="s">
        <v>316</v>
      </c>
      <c r="G68" s="30">
        <v>20000</v>
      </c>
    </row>
    <row r="69" spans="1:7" x14ac:dyDescent="0.3">
      <c r="A69" s="23" t="s">
        <v>9</v>
      </c>
      <c r="B69" s="23" t="s">
        <v>895</v>
      </c>
      <c r="C69" s="23">
        <v>1089916</v>
      </c>
      <c r="D69" s="23" t="s">
        <v>1435</v>
      </c>
      <c r="E69" s="23" t="s">
        <v>852</v>
      </c>
      <c r="F69" s="23" t="s">
        <v>316</v>
      </c>
      <c r="G69" s="30">
        <v>22000</v>
      </c>
    </row>
    <row r="70" spans="1:7" x14ac:dyDescent="0.3">
      <c r="A70" s="23" t="s">
        <v>9</v>
      </c>
      <c r="B70" s="23" t="s">
        <v>895</v>
      </c>
      <c r="C70" s="23">
        <v>1089903</v>
      </c>
      <c r="D70" s="23" t="s">
        <v>1436</v>
      </c>
      <c r="E70" s="23" t="s">
        <v>305</v>
      </c>
      <c r="F70" s="23" t="s">
        <v>39</v>
      </c>
      <c r="G70" s="30">
        <v>22000</v>
      </c>
    </row>
    <row r="71" spans="1:7" x14ac:dyDescent="0.3">
      <c r="A71" s="23" t="s">
        <v>9</v>
      </c>
      <c r="B71" s="23" t="s">
        <v>1437</v>
      </c>
      <c r="C71" s="23">
        <v>1089891</v>
      </c>
      <c r="D71" s="23" t="s">
        <v>1438</v>
      </c>
      <c r="E71" s="23" t="s">
        <v>1398</v>
      </c>
      <c r="F71" s="23" t="s">
        <v>84</v>
      </c>
      <c r="G71" s="30">
        <v>22000</v>
      </c>
    </row>
    <row r="72" spans="1:7" x14ac:dyDescent="0.3">
      <c r="A72" s="23" t="s">
        <v>9</v>
      </c>
      <c r="B72" s="23" t="s">
        <v>169</v>
      </c>
      <c r="C72" s="23">
        <v>1089864</v>
      </c>
      <c r="D72" s="23" t="s">
        <v>1439</v>
      </c>
      <c r="E72" s="23" t="s">
        <v>160</v>
      </c>
      <c r="F72" s="23" t="s">
        <v>84</v>
      </c>
      <c r="G72" s="30">
        <v>18000</v>
      </c>
    </row>
    <row r="73" spans="1:7" x14ac:dyDescent="0.3">
      <c r="A73" s="23" t="s">
        <v>9</v>
      </c>
      <c r="B73" s="23" t="s">
        <v>1440</v>
      </c>
      <c r="C73" s="23">
        <v>1089863</v>
      </c>
      <c r="D73" s="23" t="s">
        <v>1441</v>
      </c>
      <c r="E73" s="23" t="s">
        <v>411</v>
      </c>
      <c r="F73" s="23" t="s">
        <v>84</v>
      </c>
      <c r="G73" s="30">
        <v>22000</v>
      </c>
    </row>
    <row r="74" spans="1:7" x14ac:dyDescent="0.3">
      <c r="A74" s="23" t="s">
        <v>9</v>
      </c>
      <c r="B74" s="23" t="s">
        <v>1442</v>
      </c>
      <c r="C74" s="23">
        <v>1089931</v>
      </c>
      <c r="D74" s="23" t="s">
        <v>1443</v>
      </c>
      <c r="E74" s="23" t="s">
        <v>26</v>
      </c>
      <c r="F74" s="23" t="s">
        <v>84</v>
      </c>
      <c r="G74" s="30">
        <v>20000</v>
      </c>
    </row>
    <row r="75" spans="1:7" s="23" customFormat="1" x14ac:dyDescent="0.3">
      <c r="A75" s="23" t="s">
        <v>9</v>
      </c>
      <c r="B75" s="23" t="s">
        <v>1078</v>
      </c>
      <c r="C75" s="23">
        <v>1089892</v>
      </c>
      <c r="D75" s="23" t="s">
        <v>1434</v>
      </c>
      <c r="E75" s="23" t="s">
        <v>26</v>
      </c>
      <c r="F75" s="23" t="s">
        <v>84</v>
      </c>
      <c r="G75" s="30">
        <v>20000</v>
      </c>
    </row>
    <row r="76" spans="1:7" s="23" customFormat="1" x14ac:dyDescent="0.3">
      <c r="A76" s="23" t="s">
        <v>9</v>
      </c>
      <c r="B76" s="23" t="s">
        <v>1444</v>
      </c>
      <c r="C76" s="23">
        <v>1089866</v>
      </c>
      <c r="D76" s="23" t="s">
        <v>1445</v>
      </c>
      <c r="E76" s="23" t="s">
        <v>198</v>
      </c>
      <c r="F76" s="23" t="s">
        <v>1446</v>
      </c>
      <c r="G76" s="30">
        <v>30000</v>
      </c>
    </row>
    <row r="77" spans="1:7" s="23" customFormat="1" x14ac:dyDescent="0.3">
      <c r="A77" s="23" t="s">
        <v>9</v>
      </c>
      <c r="B77" s="23" t="s">
        <v>1447</v>
      </c>
      <c r="C77" s="23">
        <v>1089902</v>
      </c>
      <c r="D77" s="23" t="s">
        <v>1448</v>
      </c>
      <c r="E77" s="23" t="s">
        <v>79</v>
      </c>
      <c r="F77" s="23" t="s">
        <v>104</v>
      </c>
      <c r="G77" s="30">
        <v>4000</v>
      </c>
    </row>
    <row r="78" spans="1:7" s="23" customFormat="1" x14ac:dyDescent="0.3">
      <c r="A78" s="23" t="s">
        <v>9</v>
      </c>
      <c r="B78" s="23" t="s">
        <v>998</v>
      </c>
      <c r="C78" s="23">
        <v>1089913</v>
      </c>
      <c r="D78" s="23" t="s">
        <v>1449</v>
      </c>
      <c r="E78" s="23" t="s">
        <v>60</v>
      </c>
      <c r="F78" s="23" t="s">
        <v>116</v>
      </c>
      <c r="G78" s="30">
        <v>4000</v>
      </c>
    </row>
    <row r="79" spans="1:7" x14ac:dyDescent="0.3">
      <c r="A79" s="23" t="s">
        <v>9</v>
      </c>
      <c r="B79" s="23" t="s">
        <v>174</v>
      </c>
      <c r="C79" s="23">
        <v>1089878</v>
      </c>
      <c r="D79" s="23" t="s">
        <v>1450</v>
      </c>
      <c r="E79" s="23" t="s">
        <v>26</v>
      </c>
      <c r="F79" s="23" t="s">
        <v>285</v>
      </c>
      <c r="G79" s="30">
        <v>4000</v>
      </c>
    </row>
    <row r="80" spans="1:7" x14ac:dyDescent="0.3">
      <c r="A80" s="23" t="s">
        <v>9</v>
      </c>
      <c r="B80" s="23" t="s">
        <v>424</v>
      </c>
      <c r="C80" s="23">
        <v>1089896</v>
      </c>
      <c r="D80" s="23" t="s">
        <v>1451</v>
      </c>
      <c r="E80" s="23" t="s">
        <v>26</v>
      </c>
      <c r="F80" s="23" t="s">
        <v>119</v>
      </c>
      <c r="G80" s="30">
        <v>3000</v>
      </c>
    </row>
    <row r="81" spans="1:7" s="23" customFormat="1" x14ac:dyDescent="0.3">
      <c r="A81" s="23" t="s">
        <v>9</v>
      </c>
      <c r="B81" s="23" t="s">
        <v>1452</v>
      </c>
      <c r="C81" s="23">
        <v>1089912</v>
      </c>
      <c r="D81" s="23" t="s">
        <v>1453</v>
      </c>
      <c r="E81" s="23" t="s">
        <v>26</v>
      </c>
      <c r="F81" s="23" t="s">
        <v>129</v>
      </c>
      <c r="G81" s="30">
        <v>3000</v>
      </c>
    </row>
    <row r="82" spans="1:7" s="23" customFormat="1" x14ac:dyDescent="0.3">
      <c r="A82" s="23" t="s">
        <v>9</v>
      </c>
      <c r="B82" s="23" t="s">
        <v>1212</v>
      </c>
      <c r="C82" s="23">
        <v>1089922</v>
      </c>
      <c r="D82" s="23" t="s">
        <v>1429</v>
      </c>
      <c r="E82" s="23" t="s">
        <v>26</v>
      </c>
      <c r="F82" s="23" t="s">
        <v>129</v>
      </c>
      <c r="G82" s="30">
        <v>3000</v>
      </c>
    </row>
    <row r="83" spans="1:7" x14ac:dyDescent="0.3">
      <c r="A83" s="23" t="s">
        <v>9</v>
      </c>
      <c r="B83" s="23" t="s">
        <v>432</v>
      </c>
      <c r="C83" s="23">
        <v>1089856</v>
      </c>
      <c r="D83" s="23" t="s">
        <v>1454</v>
      </c>
      <c r="E83" s="23" t="s">
        <v>26</v>
      </c>
      <c r="F83" s="23" t="s">
        <v>550</v>
      </c>
      <c r="G83" s="30">
        <v>3000</v>
      </c>
    </row>
    <row r="84" spans="1:7" x14ac:dyDescent="0.3">
      <c r="A84" s="23" t="s">
        <v>9</v>
      </c>
      <c r="B84" s="23" t="s">
        <v>182</v>
      </c>
      <c r="C84" s="23">
        <v>1089889</v>
      </c>
      <c r="D84" s="23" t="s">
        <v>1455</v>
      </c>
      <c r="E84" s="23" t="s">
        <v>26</v>
      </c>
      <c r="F84" s="23" t="s">
        <v>184</v>
      </c>
      <c r="G84" s="30">
        <v>2500</v>
      </c>
    </row>
    <row r="85" spans="1:7" x14ac:dyDescent="0.3">
      <c r="A85" t="s">
        <v>185</v>
      </c>
      <c r="B85" t="s">
        <v>186</v>
      </c>
      <c r="C85">
        <v>1089886</v>
      </c>
      <c r="D85" t="s">
        <v>1456</v>
      </c>
      <c r="E85" t="s">
        <v>160</v>
      </c>
      <c r="F85" t="s">
        <v>168</v>
      </c>
      <c r="G85" s="31">
        <v>20000</v>
      </c>
    </row>
    <row r="86" spans="1:7" x14ac:dyDescent="0.3">
      <c r="A86" t="s">
        <v>185</v>
      </c>
      <c r="B86" t="s">
        <v>205</v>
      </c>
      <c r="C86">
        <v>1089898</v>
      </c>
      <c r="D86" t="s">
        <v>1457</v>
      </c>
      <c r="E86" t="s">
        <v>26</v>
      </c>
      <c r="F86" t="s">
        <v>124</v>
      </c>
      <c r="G86" s="31">
        <v>3000</v>
      </c>
    </row>
    <row r="87" spans="1:7" x14ac:dyDescent="0.3">
      <c r="A87" t="s">
        <v>185</v>
      </c>
      <c r="B87" t="s">
        <v>1458</v>
      </c>
      <c r="C87">
        <v>1089901</v>
      </c>
      <c r="D87" t="s">
        <v>1459</v>
      </c>
      <c r="E87" t="s">
        <v>26</v>
      </c>
      <c r="F87" t="s">
        <v>129</v>
      </c>
      <c r="G87" s="31">
        <v>3000</v>
      </c>
    </row>
    <row r="88" spans="1:7" x14ac:dyDescent="0.3">
      <c r="A88" t="s">
        <v>185</v>
      </c>
      <c r="B88" t="s">
        <v>186</v>
      </c>
      <c r="C88">
        <v>1089929</v>
      </c>
      <c r="D88" t="s">
        <v>1460</v>
      </c>
      <c r="E88" t="s">
        <v>160</v>
      </c>
      <c r="F88" t="s">
        <v>211</v>
      </c>
      <c r="G88" s="31">
        <v>2500</v>
      </c>
    </row>
    <row r="89" spans="1:7" x14ac:dyDescent="0.3">
      <c r="A89" t="s">
        <v>185</v>
      </c>
      <c r="B89" t="s">
        <v>186</v>
      </c>
      <c r="C89">
        <v>1089932</v>
      </c>
      <c r="D89" t="s">
        <v>1461</v>
      </c>
      <c r="E89" t="s">
        <v>198</v>
      </c>
      <c r="F89" t="s">
        <v>766</v>
      </c>
      <c r="G89" s="31">
        <v>1800</v>
      </c>
    </row>
    <row r="90" spans="1:7" x14ac:dyDescent="0.3">
      <c r="A90" t="s">
        <v>185</v>
      </c>
      <c r="B90" t="s">
        <v>196</v>
      </c>
      <c r="C90">
        <v>1089915</v>
      </c>
      <c r="D90" t="s">
        <v>1462</v>
      </c>
      <c r="E90" t="s">
        <v>26</v>
      </c>
      <c r="F90" t="s">
        <v>766</v>
      </c>
      <c r="G90" s="31">
        <v>2200</v>
      </c>
    </row>
    <row r="91" spans="1:7" x14ac:dyDescent="0.3">
      <c r="A91" t="s">
        <v>185</v>
      </c>
      <c r="B91" t="s">
        <v>189</v>
      </c>
      <c r="C91">
        <v>1089924</v>
      </c>
      <c r="D91" t="s">
        <v>1463</v>
      </c>
      <c r="E91" t="s">
        <v>26</v>
      </c>
      <c r="F91" t="s">
        <v>142</v>
      </c>
      <c r="G91" s="31">
        <v>2000</v>
      </c>
    </row>
    <row r="92" spans="1:7" x14ac:dyDescent="0.3">
      <c r="A92" t="s">
        <v>185</v>
      </c>
      <c r="B92" t="s">
        <v>208</v>
      </c>
      <c r="C92">
        <v>1089938</v>
      </c>
      <c r="D92" t="s">
        <v>1464</v>
      </c>
      <c r="E92" t="s">
        <v>210</v>
      </c>
      <c r="F92" t="s">
        <v>142</v>
      </c>
      <c r="G92" s="31">
        <v>1500</v>
      </c>
    </row>
    <row r="93" spans="1:7" x14ac:dyDescent="0.3">
      <c r="A93" t="s">
        <v>185</v>
      </c>
      <c r="B93" t="s">
        <v>208</v>
      </c>
      <c r="C93">
        <v>1089937</v>
      </c>
      <c r="D93" t="s">
        <v>1465</v>
      </c>
      <c r="E93" t="s">
        <v>210</v>
      </c>
      <c r="F93" t="s">
        <v>220</v>
      </c>
      <c r="G93" s="31">
        <v>2000</v>
      </c>
    </row>
    <row r="94" spans="1:7" x14ac:dyDescent="0.3">
      <c r="A94" t="s">
        <v>185</v>
      </c>
      <c r="B94" t="s">
        <v>186</v>
      </c>
      <c r="C94">
        <v>1089929</v>
      </c>
      <c r="D94" t="s">
        <v>1460</v>
      </c>
      <c r="E94" t="s">
        <v>160</v>
      </c>
      <c r="F94" t="s">
        <v>222</v>
      </c>
      <c r="G94" s="31">
        <v>2500</v>
      </c>
    </row>
    <row r="95" spans="1:7" x14ac:dyDescent="0.3">
      <c r="A95" t="s">
        <v>185</v>
      </c>
      <c r="B95" t="s">
        <v>186</v>
      </c>
      <c r="C95">
        <v>1089877</v>
      </c>
      <c r="D95" t="s">
        <v>1466</v>
      </c>
      <c r="E95" t="s">
        <v>60</v>
      </c>
      <c r="F95" t="s">
        <v>226</v>
      </c>
      <c r="G95" s="31">
        <v>1800</v>
      </c>
    </row>
    <row r="96" spans="1:7" x14ac:dyDescent="0.3">
      <c r="A96" t="s">
        <v>185</v>
      </c>
      <c r="B96" t="s">
        <v>208</v>
      </c>
      <c r="C96">
        <v>1089936</v>
      </c>
      <c r="D96" t="s">
        <v>1467</v>
      </c>
      <c r="E96" t="s">
        <v>210</v>
      </c>
      <c r="F96" t="s">
        <v>226</v>
      </c>
      <c r="G96" s="31">
        <v>2000</v>
      </c>
    </row>
    <row r="97" spans="1:8" x14ac:dyDescent="0.3">
      <c r="A97" t="s">
        <v>185</v>
      </c>
      <c r="B97" t="s">
        <v>186</v>
      </c>
      <c r="C97">
        <v>1089877</v>
      </c>
      <c r="D97" t="s">
        <v>1466</v>
      </c>
      <c r="E97" t="s">
        <v>60</v>
      </c>
      <c r="F97" t="s">
        <v>229</v>
      </c>
      <c r="G97" s="31">
        <v>1800</v>
      </c>
    </row>
    <row r="98" spans="1:8" x14ac:dyDescent="0.3">
      <c r="A98" t="s">
        <v>185</v>
      </c>
      <c r="B98" t="s">
        <v>208</v>
      </c>
      <c r="C98">
        <v>1089936</v>
      </c>
      <c r="D98" t="s">
        <v>1467</v>
      </c>
      <c r="E98" t="s">
        <v>210</v>
      </c>
      <c r="F98" t="s">
        <v>233</v>
      </c>
      <c r="G98" s="31">
        <v>2500</v>
      </c>
    </row>
    <row r="99" spans="1:8" x14ac:dyDescent="0.3">
      <c r="C99" s="1"/>
      <c r="D99" s="1"/>
      <c r="E99" s="1"/>
      <c r="F99" s="1" t="s">
        <v>389</v>
      </c>
      <c r="G99" s="33">
        <f>SUM(G53:G98)</f>
        <v>365400</v>
      </c>
      <c r="H99" s="1"/>
    </row>
    <row r="100" spans="1:8" x14ac:dyDescent="0.3">
      <c r="C100" s="1"/>
      <c r="D100" s="1"/>
      <c r="E100" s="1"/>
      <c r="F100" s="1"/>
      <c r="G100" s="34"/>
      <c r="H100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opLeftCell="A16" workbookViewId="0">
      <selection activeCell="B78" sqref="B78"/>
    </sheetView>
  </sheetViews>
  <sheetFormatPr defaultRowHeight="14.4" x14ac:dyDescent="0.3"/>
  <cols>
    <col min="1" max="1" width="7.5546875" customWidth="1"/>
    <col min="2" max="2" width="20.44140625" customWidth="1"/>
    <col min="3" max="3" width="9" customWidth="1"/>
    <col min="4" max="4" width="25.44140625" bestFit="1" customWidth="1"/>
    <col min="5" max="5" width="20" customWidth="1"/>
    <col min="6" max="6" width="31.77734375" customWidth="1"/>
    <col min="7" max="7" width="11.21875" bestFit="1" customWidth="1"/>
  </cols>
  <sheetData>
    <row r="1" spans="1:7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s="18" customFormat="1" x14ac:dyDescent="0.3">
      <c r="A2" s="18" t="s">
        <v>11</v>
      </c>
      <c r="B2" s="18" t="s">
        <v>1468</v>
      </c>
      <c r="C2" s="18">
        <v>1089991</v>
      </c>
      <c r="D2" s="18" t="s">
        <v>1469</v>
      </c>
      <c r="E2" s="18" t="s">
        <v>26</v>
      </c>
      <c r="F2" s="18" t="s">
        <v>51</v>
      </c>
      <c r="G2" s="27">
        <v>15000</v>
      </c>
    </row>
    <row r="3" spans="1:7" s="18" customFormat="1" x14ac:dyDescent="0.3">
      <c r="A3" s="18" t="s">
        <v>11</v>
      </c>
      <c r="B3" s="18" t="s">
        <v>1470</v>
      </c>
      <c r="C3" s="18">
        <v>1090017</v>
      </c>
      <c r="D3" s="18" t="s">
        <v>1471</v>
      </c>
      <c r="E3" s="18" t="s">
        <v>26</v>
      </c>
      <c r="F3" s="18" t="s">
        <v>27</v>
      </c>
      <c r="G3" s="27">
        <v>12000</v>
      </c>
    </row>
    <row r="4" spans="1:7" s="18" customFormat="1" x14ac:dyDescent="0.3">
      <c r="A4" s="18" t="s">
        <v>11</v>
      </c>
      <c r="B4" s="18" t="s">
        <v>247</v>
      </c>
      <c r="C4" s="18">
        <v>1089963</v>
      </c>
      <c r="D4" s="18" t="s">
        <v>1472</v>
      </c>
      <c r="E4" s="18" t="s">
        <v>26</v>
      </c>
      <c r="F4" s="18" t="s">
        <v>71</v>
      </c>
      <c r="G4" s="27">
        <v>6500</v>
      </c>
    </row>
    <row r="5" spans="1:7" s="18" customFormat="1" x14ac:dyDescent="0.3">
      <c r="A5" s="18" t="s">
        <v>11</v>
      </c>
      <c r="B5" s="18" t="s">
        <v>1473</v>
      </c>
      <c r="C5" s="18">
        <v>1089997</v>
      </c>
      <c r="D5" s="18" t="s">
        <v>1474</v>
      </c>
      <c r="E5" s="18" t="s">
        <v>26</v>
      </c>
      <c r="F5" s="18" t="s">
        <v>74</v>
      </c>
      <c r="G5" s="27">
        <v>20000</v>
      </c>
    </row>
    <row r="6" spans="1:7" s="18" customFormat="1" x14ac:dyDescent="0.3">
      <c r="A6" s="18" t="s">
        <v>11</v>
      </c>
      <c r="B6" s="18" t="s">
        <v>1475</v>
      </c>
      <c r="C6" s="18">
        <v>1090010</v>
      </c>
      <c r="D6" s="18" t="s">
        <v>1476</v>
      </c>
      <c r="E6" s="18" t="s">
        <v>34</v>
      </c>
      <c r="F6" s="18" t="s">
        <v>39</v>
      </c>
      <c r="G6" s="27">
        <v>18000</v>
      </c>
    </row>
    <row r="7" spans="1:7" s="18" customFormat="1" x14ac:dyDescent="0.3">
      <c r="A7" s="18" t="s">
        <v>11</v>
      </c>
      <c r="B7" s="18" t="s">
        <v>1477</v>
      </c>
      <c r="C7" s="18">
        <v>1089987</v>
      </c>
      <c r="D7" s="18" t="s">
        <v>1478</v>
      </c>
      <c r="E7" s="18" t="s">
        <v>64</v>
      </c>
      <c r="F7" s="18" t="s">
        <v>84</v>
      </c>
      <c r="G7" s="27">
        <v>18000</v>
      </c>
    </row>
    <row r="8" spans="1:7" s="18" customFormat="1" x14ac:dyDescent="0.3">
      <c r="A8" s="18" t="s">
        <v>11</v>
      </c>
      <c r="B8" s="18" t="s">
        <v>1479</v>
      </c>
      <c r="C8" s="18">
        <v>1089983</v>
      </c>
      <c r="D8" s="18" t="s">
        <v>1480</v>
      </c>
      <c r="E8" s="18" t="s">
        <v>160</v>
      </c>
      <c r="F8" s="18" t="s">
        <v>45</v>
      </c>
      <c r="G8" s="27">
        <v>20000</v>
      </c>
    </row>
    <row r="9" spans="1:7" s="18" customFormat="1" x14ac:dyDescent="0.3">
      <c r="A9" s="18" t="s">
        <v>11</v>
      </c>
      <c r="B9" s="18" t="s">
        <v>1477</v>
      </c>
      <c r="C9" s="18">
        <v>1089987</v>
      </c>
      <c r="D9" s="18" t="s">
        <v>1478</v>
      </c>
      <c r="E9" s="18" t="s">
        <v>64</v>
      </c>
      <c r="F9" s="18" t="s">
        <v>793</v>
      </c>
      <c r="G9" s="27">
        <v>20000</v>
      </c>
    </row>
    <row r="10" spans="1:7" s="18" customFormat="1" x14ac:dyDescent="0.3">
      <c r="A10" s="18" t="s">
        <v>11</v>
      </c>
      <c r="B10" s="18" t="s">
        <v>395</v>
      </c>
      <c r="C10" s="18">
        <v>1090013</v>
      </c>
      <c r="D10" s="18" t="s">
        <v>1481</v>
      </c>
      <c r="E10" s="18" t="s">
        <v>64</v>
      </c>
      <c r="F10" s="18" t="s">
        <v>168</v>
      </c>
      <c r="G10" s="27">
        <v>18000</v>
      </c>
    </row>
    <row r="11" spans="1:7" s="18" customFormat="1" x14ac:dyDescent="0.3">
      <c r="A11" s="18" t="s">
        <v>11</v>
      </c>
      <c r="B11" s="18" t="s">
        <v>1482</v>
      </c>
      <c r="C11" s="18">
        <v>1089996</v>
      </c>
      <c r="D11" s="18" t="s">
        <v>1483</v>
      </c>
      <c r="E11" s="18" t="s">
        <v>79</v>
      </c>
      <c r="F11" s="18" t="s">
        <v>337</v>
      </c>
      <c r="G11" s="27">
        <v>4000</v>
      </c>
    </row>
    <row r="12" spans="1:7" s="18" customFormat="1" x14ac:dyDescent="0.3">
      <c r="A12" s="18" t="s">
        <v>11</v>
      </c>
      <c r="B12" s="18" t="s">
        <v>1484</v>
      </c>
      <c r="C12" s="18">
        <v>1090011</v>
      </c>
      <c r="D12" s="18" t="s">
        <v>1485</v>
      </c>
      <c r="E12" s="18" t="s">
        <v>26</v>
      </c>
      <c r="F12" s="18" t="s">
        <v>129</v>
      </c>
      <c r="G12" s="27">
        <v>3000</v>
      </c>
    </row>
    <row r="13" spans="1:7" s="18" customFormat="1" x14ac:dyDescent="0.3">
      <c r="A13" s="18" t="s">
        <v>11</v>
      </c>
      <c r="B13" s="18" t="s">
        <v>247</v>
      </c>
      <c r="C13" s="18">
        <v>1089963</v>
      </c>
      <c r="D13" s="18" t="s">
        <v>1472</v>
      </c>
      <c r="E13" s="18" t="s">
        <v>26</v>
      </c>
      <c r="F13" s="18" t="s">
        <v>129</v>
      </c>
      <c r="G13" s="27">
        <v>3000</v>
      </c>
    </row>
    <row r="14" spans="1:7" s="18" customFormat="1" x14ac:dyDescent="0.3">
      <c r="A14" s="18" t="s">
        <v>11</v>
      </c>
      <c r="B14" s="18" t="s">
        <v>1482</v>
      </c>
      <c r="C14" s="18">
        <v>1089996</v>
      </c>
      <c r="D14" s="18" t="s">
        <v>1483</v>
      </c>
      <c r="E14" s="18" t="s">
        <v>79</v>
      </c>
      <c r="F14" s="18" t="s">
        <v>207</v>
      </c>
      <c r="G14" s="27">
        <v>5000</v>
      </c>
    </row>
    <row r="15" spans="1:7" s="18" customFormat="1" x14ac:dyDescent="0.3">
      <c r="A15" s="18" t="s">
        <v>11</v>
      </c>
      <c r="B15" s="18" t="s">
        <v>487</v>
      </c>
      <c r="C15" s="18">
        <v>1089989</v>
      </c>
      <c r="D15" s="18" t="s">
        <v>1486</v>
      </c>
      <c r="E15" s="18" t="s">
        <v>198</v>
      </c>
      <c r="F15" s="18" t="s">
        <v>237</v>
      </c>
      <c r="G15" s="27">
        <v>2200</v>
      </c>
    </row>
    <row r="16" spans="1:7" s="18" customFormat="1" x14ac:dyDescent="0.3">
      <c r="A16" s="18" t="s">
        <v>11</v>
      </c>
      <c r="B16" s="18" t="s">
        <v>1470</v>
      </c>
      <c r="C16" s="18">
        <v>1090017</v>
      </c>
      <c r="D16" s="18" t="s">
        <v>1471</v>
      </c>
      <c r="E16" s="18" t="s">
        <v>26</v>
      </c>
      <c r="F16" s="18" t="s">
        <v>237</v>
      </c>
      <c r="G16" s="27">
        <v>2500</v>
      </c>
    </row>
    <row r="17" spans="1:7" s="10" customFormat="1" x14ac:dyDescent="0.3">
      <c r="A17" s="10" t="s">
        <v>0</v>
      </c>
      <c r="B17" s="10" t="s">
        <v>1422</v>
      </c>
      <c r="C17" s="10">
        <v>1090012</v>
      </c>
      <c r="D17" s="10" t="s">
        <v>1487</v>
      </c>
      <c r="E17" s="10" t="s">
        <v>26</v>
      </c>
      <c r="F17" s="10" t="s">
        <v>465</v>
      </c>
      <c r="G17" s="29">
        <v>14000</v>
      </c>
    </row>
    <row r="18" spans="1:7" s="10" customFormat="1" x14ac:dyDescent="0.3">
      <c r="A18" s="10" t="s">
        <v>0</v>
      </c>
      <c r="B18" s="10" t="s">
        <v>122</v>
      </c>
      <c r="C18" s="10">
        <v>1089946</v>
      </c>
      <c r="D18" s="10" t="s">
        <v>1488</v>
      </c>
      <c r="E18" s="10" t="s">
        <v>26</v>
      </c>
      <c r="F18" s="10" t="s">
        <v>360</v>
      </c>
      <c r="G18" s="29">
        <v>29000</v>
      </c>
    </row>
    <row r="19" spans="1:7" s="10" customFormat="1" x14ac:dyDescent="0.3">
      <c r="A19" s="10" t="s">
        <v>0</v>
      </c>
      <c r="B19" s="10" t="s">
        <v>1489</v>
      </c>
      <c r="C19" s="10">
        <v>1089957</v>
      </c>
      <c r="D19" s="10" t="s">
        <v>1490</v>
      </c>
      <c r="E19" s="10" t="s">
        <v>160</v>
      </c>
      <c r="F19" s="10" t="s">
        <v>51</v>
      </c>
      <c r="G19" s="29">
        <v>18000</v>
      </c>
    </row>
    <row r="20" spans="1:7" s="10" customFormat="1" x14ac:dyDescent="0.3">
      <c r="A20" s="10" t="s">
        <v>0</v>
      </c>
      <c r="B20" s="10" t="s">
        <v>271</v>
      </c>
      <c r="C20" s="10">
        <v>1089941</v>
      </c>
      <c r="D20" s="10" t="s">
        <v>1491</v>
      </c>
      <c r="E20" s="10" t="s">
        <v>26</v>
      </c>
      <c r="F20" s="10" t="s">
        <v>266</v>
      </c>
      <c r="G20" s="29">
        <v>15000</v>
      </c>
    </row>
    <row r="21" spans="1:7" s="10" customFormat="1" x14ac:dyDescent="0.3">
      <c r="A21" s="10" t="s">
        <v>0</v>
      </c>
      <c r="B21" s="10" t="s">
        <v>1492</v>
      </c>
      <c r="C21" s="10">
        <v>1089971</v>
      </c>
      <c r="D21" s="10" t="s">
        <v>1493</v>
      </c>
      <c r="E21" s="10" t="s">
        <v>26</v>
      </c>
      <c r="F21" s="10" t="s">
        <v>31</v>
      </c>
      <c r="G21" s="29">
        <v>7500</v>
      </c>
    </row>
    <row r="22" spans="1:7" s="10" customFormat="1" x14ac:dyDescent="0.3">
      <c r="A22" s="10" t="s">
        <v>0</v>
      </c>
      <c r="B22" s="10" t="s">
        <v>273</v>
      </c>
      <c r="C22" s="10">
        <v>1089943</v>
      </c>
      <c r="D22" s="10" t="s">
        <v>1494</v>
      </c>
      <c r="E22" s="10" t="s">
        <v>34</v>
      </c>
      <c r="F22" s="10" t="s">
        <v>394</v>
      </c>
      <c r="G22" s="29">
        <v>36000</v>
      </c>
    </row>
    <row r="23" spans="1:7" s="10" customFormat="1" x14ac:dyDescent="0.3">
      <c r="A23" s="10" t="s">
        <v>0</v>
      </c>
      <c r="B23" s="10" t="s">
        <v>1694</v>
      </c>
      <c r="C23" s="10">
        <v>1089978</v>
      </c>
      <c r="D23" s="10" t="s">
        <v>1495</v>
      </c>
      <c r="E23" s="10" t="s">
        <v>26</v>
      </c>
      <c r="F23" s="10" t="s">
        <v>74</v>
      </c>
      <c r="G23" s="29">
        <v>20000</v>
      </c>
    </row>
    <row r="24" spans="1:7" s="10" customFormat="1" x14ac:dyDescent="0.3">
      <c r="A24" s="10" t="s">
        <v>0</v>
      </c>
      <c r="B24" s="10" t="s">
        <v>90</v>
      </c>
      <c r="C24" s="10">
        <v>1089982</v>
      </c>
      <c r="D24" s="10" t="s">
        <v>1378</v>
      </c>
      <c r="E24" s="10" t="s">
        <v>26</v>
      </c>
      <c r="F24" s="10" t="s">
        <v>74</v>
      </c>
      <c r="G24" s="29">
        <v>20000</v>
      </c>
    </row>
    <row r="25" spans="1:7" s="10" customFormat="1" x14ac:dyDescent="0.3">
      <c r="A25" s="10" t="s">
        <v>0</v>
      </c>
      <c r="B25" s="10" t="s">
        <v>114</v>
      </c>
      <c r="C25" s="10">
        <v>1090020</v>
      </c>
      <c r="D25" s="10" t="s">
        <v>1496</v>
      </c>
      <c r="E25" s="10" t="s">
        <v>26</v>
      </c>
      <c r="F25" s="10" t="s">
        <v>74</v>
      </c>
      <c r="G25" s="29">
        <v>20000</v>
      </c>
    </row>
    <row r="26" spans="1:7" s="10" customFormat="1" x14ac:dyDescent="0.3">
      <c r="A26" s="10" t="s">
        <v>0</v>
      </c>
      <c r="B26" s="10" t="s">
        <v>1694</v>
      </c>
      <c r="C26" s="10">
        <v>1089940</v>
      </c>
      <c r="D26" s="10" t="s">
        <v>1497</v>
      </c>
      <c r="E26" s="10" t="s">
        <v>26</v>
      </c>
      <c r="F26" s="10" t="s">
        <v>74</v>
      </c>
      <c r="G26" s="29">
        <v>20000</v>
      </c>
    </row>
    <row r="27" spans="1:7" s="10" customFormat="1" x14ac:dyDescent="0.3">
      <c r="A27" s="10" t="s">
        <v>0</v>
      </c>
      <c r="B27" s="10" t="s">
        <v>510</v>
      </c>
      <c r="C27" s="10">
        <v>1089939</v>
      </c>
      <c r="D27" s="10" t="s">
        <v>1498</v>
      </c>
      <c r="E27" s="10" t="s">
        <v>26</v>
      </c>
      <c r="F27" s="10" t="s">
        <v>74</v>
      </c>
      <c r="G27" s="29">
        <v>20000</v>
      </c>
    </row>
    <row r="28" spans="1:7" s="10" customFormat="1" x14ac:dyDescent="0.3">
      <c r="A28" s="10" t="s">
        <v>0</v>
      </c>
      <c r="B28" s="10" t="s">
        <v>1499</v>
      </c>
      <c r="C28" s="10">
        <v>1089977</v>
      </c>
      <c r="D28" s="10" t="s">
        <v>1500</v>
      </c>
      <c r="E28" s="10" t="s">
        <v>26</v>
      </c>
      <c r="F28" s="10" t="s">
        <v>74</v>
      </c>
      <c r="G28" s="29">
        <v>20000</v>
      </c>
    </row>
    <row r="29" spans="1:7" s="10" customFormat="1" x14ac:dyDescent="0.3">
      <c r="A29" s="10" t="s">
        <v>0</v>
      </c>
      <c r="B29" s="10" t="s">
        <v>1501</v>
      </c>
      <c r="C29" s="10">
        <v>1089955</v>
      </c>
      <c r="D29" s="10" t="s">
        <v>1502</v>
      </c>
      <c r="E29" s="10" t="s">
        <v>160</v>
      </c>
      <c r="F29" s="10" t="s">
        <v>353</v>
      </c>
      <c r="G29" s="29">
        <v>30000</v>
      </c>
    </row>
    <row r="30" spans="1:7" s="10" customFormat="1" x14ac:dyDescent="0.3">
      <c r="A30" s="10" t="s">
        <v>0</v>
      </c>
      <c r="B30" s="10" t="s">
        <v>1503</v>
      </c>
      <c r="C30" s="10">
        <v>1089944</v>
      </c>
      <c r="D30" s="10" t="s">
        <v>1504</v>
      </c>
      <c r="E30" s="10" t="s">
        <v>64</v>
      </c>
      <c r="F30" s="10" t="s">
        <v>663</v>
      </c>
      <c r="G30" s="29">
        <v>18000</v>
      </c>
    </row>
    <row r="31" spans="1:7" s="10" customFormat="1" x14ac:dyDescent="0.3">
      <c r="A31" s="10" t="s">
        <v>0</v>
      </c>
      <c r="B31" s="10" t="s">
        <v>1505</v>
      </c>
      <c r="C31" s="10">
        <v>1089942</v>
      </c>
      <c r="D31" s="10" t="s">
        <v>1506</v>
      </c>
      <c r="E31" s="10" t="s">
        <v>26</v>
      </c>
      <c r="F31" s="10" t="s">
        <v>39</v>
      </c>
      <c r="G31" s="29">
        <v>20000</v>
      </c>
    </row>
    <row r="32" spans="1:7" s="10" customFormat="1" x14ac:dyDescent="0.3">
      <c r="A32" s="10" t="s">
        <v>0</v>
      </c>
      <c r="B32" s="10" t="s">
        <v>1507</v>
      </c>
      <c r="C32" s="10">
        <v>1089954</v>
      </c>
      <c r="D32" s="10" t="s">
        <v>1508</v>
      </c>
      <c r="E32" s="10" t="s">
        <v>34</v>
      </c>
      <c r="F32" s="10" t="s">
        <v>84</v>
      </c>
      <c r="G32" s="29">
        <v>18000</v>
      </c>
    </row>
    <row r="33" spans="1:7" s="10" customFormat="1" x14ac:dyDescent="0.3">
      <c r="A33" s="10" t="s">
        <v>0</v>
      </c>
      <c r="B33" s="10" t="s">
        <v>114</v>
      </c>
      <c r="C33" s="10">
        <v>1090020</v>
      </c>
      <c r="D33" s="10" t="s">
        <v>1496</v>
      </c>
      <c r="E33" s="10" t="s">
        <v>26</v>
      </c>
      <c r="F33" s="10" t="s">
        <v>84</v>
      </c>
      <c r="G33" s="29">
        <v>20000</v>
      </c>
    </row>
    <row r="34" spans="1:7" s="10" customFormat="1" x14ac:dyDescent="0.3">
      <c r="A34" s="10" t="s">
        <v>0</v>
      </c>
      <c r="B34" s="10" t="s">
        <v>367</v>
      </c>
      <c r="C34" s="10">
        <v>1090022</v>
      </c>
      <c r="D34" s="10" t="s">
        <v>1509</v>
      </c>
      <c r="E34" s="10" t="s">
        <v>60</v>
      </c>
      <c r="F34" s="10" t="s">
        <v>84</v>
      </c>
      <c r="G34" s="29">
        <v>18000</v>
      </c>
    </row>
    <row r="35" spans="1:7" s="10" customFormat="1" x14ac:dyDescent="0.3">
      <c r="A35" s="10" t="s">
        <v>0</v>
      </c>
      <c r="B35" s="10" t="s">
        <v>367</v>
      </c>
      <c r="C35" s="10">
        <v>1089993</v>
      </c>
      <c r="D35" s="10" t="s">
        <v>1510</v>
      </c>
      <c r="E35" s="10" t="s">
        <v>482</v>
      </c>
      <c r="F35" s="10" t="s">
        <v>84</v>
      </c>
      <c r="G35" s="29">
        <v>20000</v>
      </c>
    </row>
    <row r="36" spans="1:7" s="10" customFormat="1" x14ac:dyDescent="0.3">
      <c r="A36" s="10" t="s">
        <v>0</v>
      </c>
      <c r="B36" s="10" t="s">
        <v>1511</v>
      </c>
      <c r="C36" s="10">
        <v>1089965</v>
      </c>
      <c r="D36" s="10" t="s">
        <v>1512</v>
      </c>
      <c r="E36" s="10" t="s">
        <v>26</v>
      </c>
      <c r="F36" s="10" t="s">
        <v>45</v>
      </c>
      <c r="G36" s="29">
        <v>25000</v>
      </c>
    </row>
    <row r="37" spans="1:7" s="10" customFormat="1" x14ac:dyDescent="0.3">
      <c r="A37" s="10" t="s">
        <v>0</v>
      </c>
      <c r="B37" s="10" t="s">
        <v>367</v>
      </c>
      <c r="C37" s="10">
        <v>1090022</v>
      </c>
      <c r="D37" s="10" t="s">
        <v>1509</v>
      </c>
      <c r="E37" s="10" t="s">
        <v>60</v>
      </c>
      <c r="F37" s="10" t="s">
        <v>45</v>
      </c>
      <c r="G37" s="29">
        <v>20000</v>
      </c>
    </row>
    <row r="38" spans="1:7" s="10" customFormat="1" x14ac:dyDescent="0.3">
      <c r="A38" s="10" t="s">
        <v>0</v>
      </c>
      <c r="B38" s="10" t="s">
        <v>1513</v>
      </c>
      <c r="C38" s="10">
        <v>1089973</v>
      </c>
      <c r="D38" s="10" t="s">
        <v>1514</v>
      </c>
      <c r="E38" s="10" t="s">
        <v>201</v>
      </c>
      <c r="F38" s="10" t="s">
        <v>98</v>
      </c>
      <c r="G38" s="29">
        <v>29000</v>
      </c>
    </row>
    <row r="39" spans="1:7" s="10" customFormat="1" x14ac:dyDescent="0.3">
      <c r="A39" s="10" t="s">
        <v>0</v>
      </c>
      <c r="B39" s="10" t="s">
        <v>1515</v>
      </c>
      <c r="C39" s="10">
        <v>1090002</v>
      </c>
      <c r="D39" s="10" t="s">
        <v>1516</v>
      </c>
      <c r="E39" s="10" t="s">
        <v>26</v>
      </c>
      <c r="F39" s="10" t="s">
        <v>195</v>
      </c>
      <c r="G39" s="29">
        <v>20000</v>
      </c>
    </row>
    <row r="40" spans="1:7" s="10" customFormat="1" x14ac:dyDescent="0.3">
      <c r="A40" s="10" t="s">
        <v>0</v>
      </c>
      <c r="B40" s="10" t="s">
        <v>367</v>
      </c>
      <c r="C40" s="10">
        <v>1089993</v>
      </c>
      <c r="D40" s="10" t="s">
        <v>1510</v>
      </c>
      <c r="E40" s="10" t="s">
        <v>482</v>
      </c>
      <c r="F40" s="10" t="s">
        <v>195</v>
      </c>
      <c r="G40" s="29">
        <v>20000</v>
      </c>
    </row>
    <row r="41" spans="1:7" s="10" customFormat="1" x14ac:dyDescent="0.3">
      <c r="A41" s="10" t="s">
        <v>0</v>
      </c>
      <c r="B41" s="10" t="s">
        <v>72</v>
      </c>
      <c r="C41" s="10">
        <v>1089964</v>
      </c>
      <c r="D41" s="10" t="s">
        <v>1517</v>
      </c>
      <c r="E41" s="10" t="s">
        <v>26</v>
      </c>
      <c r="F41" s="10" t="s">
        <v>957</v>
      </c>
      <c r="G41" s="29">
        <v>54000</v>
      </c>
    </row>
    <row r="42" spans="1:7" s="10" customFormat="1" x14ac:dyDescent="0.3">
      <c r="A42" s="10" t="s">
        <v>0</v>
      </c>
      <c r="B42" s="10" t="s">
        <v>1518</v>
      </c>
      <c r="C42" s="10">
        <v>1089998</v>
      </c>
      <c r="D42" s="10" t="s">
        <v>1519</v>
      </c>
      <c r="E42" s="10" t="s">
        <v>34</v>
      </c>
      <c r="F42" s="10" t="s">
        <v>199</v>
      </c>
      <c r="G42" s="29">
        <v>18000</v>
      </c>
    </row>
    <row r="43" spans="1:7" s="10" customFormat="1" x14ac:dyDescent="0.3">
      <c r="A43" s="10" t="s">
        <v>0</v>
      </c>
      <c r="B43" s="10" t="s">
        <v>510</v>
      </c>
      <c r="C43" s="10">
        <v>1089939</v>
      </c>
      <c r="D43" s="10" t="s">
        <v>1498</v>
      </c>
      <c r="E43" s="10" t="s">
        <v>26</v>
      </c>
      <c r="F43" s="10" t="s">
        <v>155</v>
      </c>
      <c r="G43" s="29">
        <v>15000</v>
      </c>
    </row>
    <row r="44" spans="1:7" s="10" customFormat="1" x14ac:dyDescent="0.3">
      <c r="A44" s="10" t="s">
        <v>0</v>
      </c>
      <c r="B44" s="10" t="s">
        <v>114</v>
      </c>
      <c r="C44" s="10">
        <v>1090021</v>
      </c>
      <c r="D44" s="10" t="s">
        <v>1520</v>
      </c>
      <c r="E44" s="10" t="s">
        <v>26</v>
      </c>
      <c r="F44" s="10" t="s">
        <v>155</v>
      </c>
      <c r="G44" s="29">
        <v>20000</v>
      </c>
    </row>
    <row r="45" spans="1:7" s="10" customFormat="1" x14ac:dyDescent="0.3">
      <c r="A45" s="10" t="s">
        <v>0</v>
      </c>
      <c r="B45" s="10" t="s">
        <v>527</v>
      </c>
      <c r="C45" s="10">
        <v>1089980</v>
      </c>
      <c r="D45" s="10" t="s">
        <v>1521</v>
      </c>
      <c r="E45" s="10" t="s">
        <v>26</v>
      </c>
      <c r="F45" s="10" t="s">
        <v>104</v>
      </c>
      <c r="G45" s="29">
        <v>3000</v>
      </c>
    </row>
    <row r="46" spans="1:7" s="10" customFormat="1" x14ac:dyDescent="0.3">
      <c r="A46" s="10" t="s">
        <v>0</v>
      </c>
      <c r="B46" s="10" t="s">
        <v>271</v>
      </c>
      <c r="C46" s="10">
        <v>1090008</v>
      </c>
      <c r="D46" s="10" t="s">
        <v>1522</v>
      </c>
      <c r="E46" s="10" t="s">
        <v>201</v>
      </c>
      <c r="F46" s="10" t="s">
        <v>104</v>
      </c>
      <c r="G46" s="29">
        <v>4000</v>
      </c>
    </row>
    <row r="47" spans="1:7" s="10" customFormat="1" x14ac:dyDescent="0.3">
      <c r="A47" s="10" t="s">
        <v>0</v>
      </c>
      <c r="B47" s="10" t="s">
        <v>108</v>
      </c>
      <c r="C47" s="10">
        <v>1089970</v>
      </c>
      <c r="D47" s="10" t="s">
        <v>1523</v>
      </c>
      <c r="E47" s="10" t="s">
        <v>26</v>
      </c>
      <c r="F47" s="10" t="s">
        <v>110</v>
      </c>
      <c r="G47" s="29">
        <v>6000</v>
      </c>
    </row>
    <row r="48" spans="1:7" s="10" customFormat="1" x14ac:dyDescent="0.3">
      <c r="A48" s="10" t="s">
        <v>0</v>
      </c>
      <c r="B48" s="10" t="s">
        <v>1524</v>
      </c>
      <c r="C48" s="10">
        <v>1090004</v>
      </c>
      <c r="D48" s="10" t="s">
        <v>1525</v>
      </c>
      <c r="E48" s="10" t="s">
        <v>201</v>
      </c>
      <c r="F48" s="10" t="s">
        <v>113</v>
      </c>
      <c r="G48" s="29">
        <v>5000</v>
      </c>
    </row>
    <row r="49" spans="1:7" s="10" customFormat="1" x14ac:dyDescent="0.3">
      <c r="A49" s="10" t="s">
        <v>0</v>
      </c>
      <c r="B49" s="10" t="s">
        <v>1422</v>
      </c>
      <c r="C49" s="10">
        <v>1089947</v>
      </c>
      <c r="D49" s="10" t="s">
        <v>1526</v>
      </c>
      <c r="E49" s="10" t="s">
        <v>26</v>
      </c>
      <c r="F49" s="10" t="s">
        <v>1527</v>
      </c>
      <c r="G49" s="29">
        <v>18000</v>
      </c>
    </row>
    <row r="50" spans="1:7" s="10" customFormat="1" x14ac:dyDescent="0.3">
      <c r="A50" s="10" t="s">
        <v>0</v>
      </c>
      <c r="B50" s="10" t="s">
        <v>62</v>
      </c>
      <c r="C50" s="10">
        <v>1089986</v>
      </c>
      <c r="D50" s="10" t="s">
        <v>1528</v>
      </c>
      <c r="E50" s="10" t="s">
        <v>26</v>
      </c>
      <c r="F50" s="10" t="s">
        <v>119</v>
      </c>
      <c r="G50" s="29">
        <v>3000</v>
      </c>
    </row>
    <row r="51" spans="1:7" s="10" customFormat="1" x14ac:dyDescent="0.3">
      <c r="A51" s="10" t="s">
        <v>0</v>
      </c>
      <c r="B51" s="10" t="s">
        <v>271</v>
      </c>
      <c r="C51" s="10">
        <v>1089962</v>
      </c>
      <c r="D51" s="10" t="s">
        <v>1529</v>
      </c>
      <c r="E51" s="10" t="s">
        <v>26</v>
      </c>
      <c r="F51" s="10" t="s">
        <v>119</v>
      </c>
      <c r="G51" s="29">
        <v>3000</v>
      </c>
    </row>
    <row r="52" spans="1:7" s="10" customFormat="1" x14ac:dyDescent="0.3">
      <c r="A52" s="10" t="s">
        <v>0</v>
      </c>
      <c r="B52" s="10" t="s">
        <v>1065</v>
      </c>
      <c r="C52" s="10">
        <v>1089950</v>
      </c>
      <c r="D52" s="10" t="s">
        <v>1530</v>
      </c>
      <c r="E52" s="10" t="s">
        <v>26</v>
      </c>
      <c r="F52" s="10" t="s">
        <v>124</v>
      </c>
      <c r="G52" s="29">
        <v>3000</v>
      </c>
    </row>
    <row r="53" spans="1:7" s="10" customFormat="1" x14ac:dyDescent="0.3">
      <c r="A53" s="10" t="s">
        <v>0</v>
      </c>
      <c r="B53" s="10" t="s">
        <v>117</v>
      </c>
      <c r="C53" s="10">
        <v>1089948</v>
      </c>
      <c r="D53" s="10" t="s">
        <v>1531</v>
      </c>
      <c r="E53" s="10" t="s">
        <v>26</v>
      </c>
      <c r="F53" s="10" t="s">
        <v>124</v>
      </c>
      <c r="G53" s="29">
        <v>3000</v>
      </c>
    </row>
    <row r="54" spans="1:7" s="23" customFormat="1" x14ac:dyDescent="0.3">
      <c r="A54" s="10" t="s">
        <v>0</v>
      </c>
      <c r="B54" s="10" t="s">
        <v>125</v>
      </c>
      <c r="C54" s="10">
        <v>1089967</v>
      </c>
      <c r="D54" s="10" t="s">
        <v>1532</v>
      </c>
      <c r="E54" s="10" t="s">
        <v>201</v>
      </c>
      <c r="F54" s="10" t="s">
        <v>124</v>
      </c>
      <c r="G54" s="29">
        <v>4000</v>
      </c>
    </row>
    <row r="55" spans="1:7" s="23" customFormat="1" x14ac:dyDescent="0.3">
      <c r="A55" s="10" t="s">
        <v>0</v>
      </c>
      <c r="B55" s="10" t="s">
        <v>1694</v>
      </c>
      <c r="C55" s="10">
        <v>1089951</v>
      </c>
      <c r="D55" s="10" t="s">
        <v>1533</v>
      </c>
      <c r="E55" s="10" t="s">
        <v>26</v>
      </c>
      <c r="F55" s="10" t="s">
        <v>134</v>
      </c>
      <c r="G55" s="29">
        <v>4000</v>
      </c>
    </row>
    <row r="56" spans="1:7" s="10" customFormat="1" x14ac:dyDescent="0.3">
      <c r="A56" s="10" t="s">
        <v>0</v>
      </c>
      <c r="B56" s="10" t="s">
        <v>1694</v>
      </c>
      <c r="C56" s="10">
        <v>1089949</v>
      </c>
      <c r="D56" s="10" t="s">
        <v>1348</v>
      </c>
      <c r="E56" s="10" t="s">
        <v>26</v>
      </c>
      <c r="F56" s="10" t="s">
        <v>207</v>
      </c>
      <c r="G56" s="29">
        <v>3000</v>
      </c>
    </row>
    <row r="57" spans="1:7" s="10" customFormat="1" x14ac:dyDescent="0.3">
      <c r="A57" s="10" t="s">
        <v>0</v>
      </c>
      <c r="B57" s="10" t="s">
        <v>302</v>
      </c>
      <c r="C57" s="10">
        <v>1090015</v>
      </c>
      <c r="D57" s="10" t="s">
        <v>1534</v>
      </c>
      <c r="E57" s="10" t="s">
        <v>198</v>
      </c>
      <c r="F57" s="10" t="s">
        <v>142</v>
      </c>
      <c r="G57" s="29">
        <v>2200</v>
      </c>
    </row>
    <row r="58" spans="1:7" s="10" customFormat="1" x14ac:dyDescent="0.3">
      <c r="A58" s="10" t="s">
        <v>0</v>
      </c>
      <c r="B58" s="10" t="s">
        <v>968</v>
      </c>
      <c r="C58" s="10">
        <v>1089968</v>
      </c>
      <c r="D58" s="10" t="s">
        <v>1535</v>
      </c>
      <c r="E58" s="10" t="s">
        <v>26</v>
      </c>
      <c r="F58" s="10" t="s">
        <v>142</v>
      </c>
      <c r="G58" s="29">
        <v>2000</v>
      </c>
    </row>
    <row r="59" spans="1:7" s="10" customFormat="1" x14ac:dyDescent="0.3">
      <c r="A59" s="10" t="s">
        <v>0</v>
      </c>
      <c r="B59" s="10" t="s">
        <v>937</v>
      </c>
      <c r="C59" s="10">
        <v>1090019</v>
      </c>
      <c r="D59" s="10" t="s">
        <v>1536</v>
      </c>
      <c r="E59" s="10" t="s">
        <v>26</v>
      </c>
      <c r="F59" s="10" t="s">
        <v>142</v>
      </c>
      <c r="G59" s="29">
        <v>2000</v>
      </c>
    </row>
    <row r="60" spans="1:7" s="10" customFormat="1" x14ac:dyDescent="0.3">
      <c r="A60" s="10" t="s">
        <v>0</v>
      </c>
      <c r="B60" s="10" t="s">
        <v>72</v>
      </c>
      <c r="C60" s="10">
        <v>1089964</v>
      </c>
      <c r="D60" s="10" t="s">
        <v>1517</v>
      </c>
      <c r="E60" s="10" t="s">
        <v>26</v>
      </c>
      <c r="F60" s="10" t="s">
        <v>226</v>
      </c>
      <c r="G60" s="29">
        <v>2500</v>
      </c>
    </row>
    <row r="61" spans="1:7" s="10" customFormat="1" x14ac:dyDescent="0.3">
      <c r="A61" s="10" t="s">
        <v>0</v>
      </c>
      <c r="B61" s="10" t="s">
        <v>135</v>
      </c>
      <c r="C61" s="10">
        <v>1090003</v>
      </c>
      <c r="D61" s="10" t="s">
        <v>1537</v>
      </c>
      <c r="E61" s="10" t="s">
        <v>160</v>
      </c>
      <c r="F61" s="10" t="s">
        <v>231</v>
      </c>
      <c r="G61" s="29">
        <v>3000</v>
      </c>
    </row>
    <row r="62" spans="1:7" s="10" customFormat="1" x14ac:dyDescent="0.3">
      <c r="A62" s="10" t="s">
        <v>0</v>
      </c>
      <c r="B62" s="10" t="s">
        <v>697</v>
      </c>
      <c r="C62" s="10">
        <v>1090014</v>
      </c>
      <c r="D62" s="10" t="s">
        <v>1538</v>
      </c>
      <c r="E62" s="10" t="s">
        <v>26</v>
      </c>
      <c r="F62" s="10" t="s">
        <v>231</v>
      </c>
      <c r="G62" s="29">
        <v>2500</v>
      </c>
    </row>
    <row r="63" spans="1:7" s="23" customFormat="1" x14ac:dyDescent="0.3">
      <c r="A63" s="23" t="s">
        <v>9</v>
      </c>
      <c r="B63" s="23" t="s">
        <v>1539</v>
      </c>
      <c r="C63" s="23">
        <v>1089992</v>
      </c>
      <c r="D63" s="23" t="s">
        <v>1540</v>
      </c>
      <c r="E63" s="23" t="s">
        <v>160</v>
      </c>
      <c r="F63" s="23" t="s">
        <v>719</v>
      </c>
      <c r="G63" s="30">
        <v>14000</v>
      </c>
    </row>
    <row r="64" spans="1:7" s="23" customFormat="1" x14ac:dyDescent="0.3">
      <c r="A64" s="23" t="s">
        <v>9</v>
      </c>
      <c r="B64" s="23" t="s">
        <v>1427</v>
      </c>
      <c r="C64" s="23">
        <v>1089988</v>
      </c>
      <c r="D64" s="23" t="s">
        <v>1541</v>
      </c>
      <c r="E64" s="23" t="s">
        <v>26</v>
      </c>
      <c r="F64" s="23" t="s">
        <v>719</v>
      </c>
      <c r="G64" s="30">
        <v>15000</v>
      </c>
    </row>
    <row r="65" spans="1:7" s="23" customFormat="1" x14ac:dyDescent="0.3">
      <c r="A65" s="23" t="s">
        <v>9</v>
      </c>
      <c r="B65" s="23" t="s">
        <v>1542</v>
      </c>
      <c r="C65" s="23">
        <v>1089958</v>
      </c>
      <c r="D65" s="23" t="s">
        <v>1543</v>
      </c>
      <c r="E65" s="23" t="s">
        <v>26</v>
      </c>
      <c r="F65" s="23" t="s">
        <v>259</v>
      </c>
      <c r="G65" s="30">
        <v>12000</v>
      </c>
    </row>
    <row r="66" spans="1:7" s="23" customFormat="1" x14ac:dyDescent="0.3">
      <c r="A66" s="23" t="s">
        <v>9</v>
      </c>
      <c r="B66" s="23" t="s">
        <v>1544</v>
      </c>
      <c r="C66" s="23">
        <v>1090005</v>
      </c>
      <c r="D66" s="23" t="s">
        <v>1545</v>
      </c>
      <c r="E66" s="23" t="s">
        <v>60</v>
      </c>
      <c r="F66" s="23" t="s">
        <v>65</v>
      </c>
      <c r="G66" s="30">
        <v>9000</v>
      </c>
    </row>
    <row r="67" spans="1:7" s="23" customFormat="1" x14ac:dyDescent="0.3">
      <c r="A67" s="23" t="s">
        <v>9</v>
      </c>
      <c r="B67" s="23" t="s">
        <v>1542</v>
      </c>
      <c r="C67" s="23">
        <v>1089958</v>
      </c>
      <c r="D67" s="23" t="s">
        <v>1543</v>
      </c>
      <c r="E67" s="23" t="s">
        <v>26</v>
      </c>
      <c r="F67" s="23" t="s">
        <v>750</v>
      </c>
      <c r="G67" s="30">
        <v>12000</v>
      </c>
    </row>
    <row r="68" spans="1:7" s="23" customFormat="1" x14ac:dyDescent="0.3">
      <c r="A68" s="23" t="s">
        <v>9</v>
      </c>
      <c r="B68" s="23" t="s">
        <v>570</v>
      </c>
      <c r="C68" s="23">
        <v>1090009</v>
      </c>
      <c r="D68" s="23" t="s">
        <v>1546</v>
      </c>
      <c r="E68" s="23" t="s">
        <v>26</v>
      </c>
      <c r="F68" s="23" t="s">
        <v>353</v>
      </c>
      <c r="G68" s="30">
        <v>27000</v>
      </c>
    </row>
    <row r="69" spans="1:7" s="23" customFormat="1" x14ac:dyDescent="0.3">
      <c r="A69" s="23" t="s">
        <v>9</v>
      </c>
      <c r="B69" s="23" t="s">
        <v>1547</v>
      </c>
      <c r="C69" s="23">
        <v>1089976</v>
      </c>
      <c r="D69" s="23" t="s">
        <v>1548</v>
      </c>
      <c r="E69" s="23" t="s">
        <v>26</v>
      </c>
      <c r="F69" s="23" t="s">
        <v>353</v>
      </c>
      <c r="G69" s="30">
        <v>27000</v>
      </c>
    </row>
    <row r="70" spans="1:7" s="23" customFormat="1" x14ac:dyDescent="0.3">
      <c r="A70" s="23" t="s">
        <v>9</v>
      </c>
      <c r="B70" s="23" t="s">
        <v>1549</v>
      </c>
      <c r="C70" s="23">
        <v>1089985</v>
      </c>
      <c r="D70" s="23" t="s">
        <v>1550</v>
      </c>
      <c r="E70" s="23" t="s">
        <v>44</v>
      </c>
      <c r="F70" s="23" t="s">
        <v>316</v>
      </c>
      <c r="G70" s="30">
        <v>22000</v>
      </c>
    </row>
    <row r="71" spans="1:7" s="23" customFormat="1" x14ac:dyDescent="0.3">
      <c r="A71" s="23" t="s">
        <v>9</v>
      </c>
      <c r="B71" s="23" t="s">
        <v>169</v>
      </c>
      <c r="C71" s="23">
        <v>1089969</v>
      </c>
      <c r="D71" s="23" t="s">
        <v>1551</v>
      </c>
      <c r="E71" s="23" t="s">
        <v>160</v>
      </c>
      <c r="F71" s="23" t="s">
        <v>1552</v>
      </c>
      <c r="G71" s="30">
        <v>18000</v>
      </c>
    </row>
    <row r="72" spans="1:7" s="23" customFormat="1" x14ac:dyDescent="0.3">
      <c r="A72" s="23" t="s">
        <v>9</v>
      </c>
      <c r="B72" s="23" t="s">
        <v>1553</v>
      </c>
      <c r="C72" s="23">
        <v>1089994</v>
      </c>
      <c r="D72" s="23" t="s">
        <v>1554</v>
      </c>
      <c r="E72" s="23" t="s">
        <v>79</v>
      </c>
      <c r="F72" s="23" t="s">
        <v>84</v>
      </c>
      <c r="G72" s="30">
        <v>22000</v>
      </c>
    </row>
    <row r="73" spans="1:7" s="23" customFormat="1" x14ac:dyDescent="0.3">
      <c r="A73" s="23" t="s">
        <v>9</v>
      </c>
      <c r="B73" s="23" t="s">
        <v>886</v>
      </c>
      <c r="C73" s="23">
        <v>1089952</v>
      </c>
      <c r="D73" s="23" t="s">
        <v>1555</v>
      </c>
      <c r="E73" s="23" t="s">
        <v>160</v>
      </c>
      <c r="F73" s="23" t="s">
        <v>84</v>
      </c>
      <c r="G73" s="30">
        <v>18000</v>
      </c>
    </row>
    <row r="74" spans="1:7" x14ac:dyDescent="0.3">
      <c r="A74" s="23" t="s">
        <v>9</v>
      </c>
      <c r="B74" s="23" t="s">
        <v>169</v>
      </c>
      <c r="C74" s="23">
        <v>1089969</v>
      </c>
      <c r="D74" s="23" t="s">
        <v>1551</v>
      </c>
      <c r="E74" s="23" t="s">
        <v>160</v>
      </c>
      <c r="F74" s="23" t="s">
        <v>84</v>
      </c>
      <c r="G74" s="30">
        <v>18000</v>
      </c>
    </row>
    <row r="75" spans="1:7" x14ac:dyDescent="0.3">
      <c r="A75" s="23" t="s">
        <v>9</v>
      </c>
      <c r="B75" s="23" t="s">
        <v>1556</v>
      </c>
      <c r="C75" s="23">
        <v>1089956</v>
      </c>
      <c r="D75" s="23" t="s">
        <v>1557</v>
      </c>
      <c r="E75" s="23" t="s">
        <v>26</v>
      </c>
      <c r="F75" s="23" t="s">
        <v>84</v>
      </c>
      <c r="G75" s="30">
        <v>20000</v>
      </c>
    </row>
    <row r="76" spans="1:7" x14ac:dyDescent="0.3">
      <c r="A76" s="23" t="s">
        <v>9</v>
      </c>
      <c r="B76" s="23" t="s">
        <v>1695</v>
      </c>
      <c r="C76" s="23">
        <v>1090016</v>
      </c>
      <c r="D76" s="23" t="s">
        <v>1558</v>
      </c>
      <c r="E76" s="23" t="s">
        <v>26</v>
      </c>
      <c r="F76" s="23" t="s">
        <v>45</v>
      </c>
      <c r="G76" s="30">
        <v>25000</v>
      </c>
    </row>
    <row r="77" spans="1:7" x14ac:dyDescent="0.3">
      <c r="A77" s="23" t="s">
        <v>9</v>
      </c>
      <c r="B77" s="23" t="s">
        <v>432</v>
      </c>
      <c r="C77" s="23">
        <v>1089959</v>
      </c>
      <c r="D77" s="23" t="s">
        <v>1559</v>
      </c>
      <c r="E77" s="23" t="s">
        <v>26</v>
      </c>
      <c r="F77" s="23" t="s">
        <v>104</v>
      </c>
      <c r="G77" s="30">
        <v>3000</v>
      </c>
    </row>
    <row r="78" spans="1:7" x14ac:dyDescent="0.3">
      <c r="A78" s="23" t="s">
        <v>9</v>
      </c>
      <c r="B78" s="23" t="s">
        <v>432</v>
      </c>
      <c r="C78" s="23">
        <v>1089961</v>
      </c>
      <c r="D78" s="23" t="s">
        <v>1560</v>
      </c>
      <c r="E78" s="23" t="s">
        <v>26</v>
      </c>
      <c r="F78" s="23" t="s">
        <v>110</v>
      </c>
      <c r="G78" s="30">
        <v>6000</v>
      </c>
    </row>
    <row r="79" spans="1:7" x14ac:dyDescent="0.3">
      <c r="A79" s="23" t="s">
        <v>9</v>
      </c>
      <c r="B79" s="23" t="s">
        <v>432</v>
      </c>
      <c r="C79" s="23">
        <v>1089959</v>
      </c>
      <c r="D79" s="23" t="s">
        <v>1559</v>
      </c>
      <c r="E79" s="23" t="s">
        <v>26</v>
      </c>
      <c r="F79" s="23" t="s">
        <v>119</v>
      </c>
      <c r="G79" s="30">
        <v>3000</v>
      </c>
    </row>
    <row r="80" spans="1:7" x14ac:dyDescent="0.3">
      <c r="A80" s="23" t="s">
        <v>9</v>
      </c>
      <c r="B80" s="23" t="s">
        <v>1427</v>
      </c>
      <c r="C80" s="23">
        <v>1089988</v>
      </c>
      <c r="D80" s="23" t="s">
        <v>1541</v>
      </c>
      <c r="E80" s="23" t="s">
        <v>26</v>
      </c>
      <c r="F80" s="23" t="s">
        <v>119</v>
      </c>
      <c r="G80" s="30">
        <v>3000</v>
      </c>
    </row>
    <row r="81" spans="1:7" x14ac:dyDescent="0.3">
      <c r="A81" s="23" t="s">
        <v>9</v>
      </c>
      <c r="B81" s="23" t="s">
        <v>432</v>
      </c>
      <c r="C81" s="23">
        <v>1089960</v>
      </c>
      <c r="D81" s="23" t="s">
        <v>1561</v>
      </c>
      <c r="E81" s="23" t="s">
        <v>26</v>
      </c>
      <c r="F81" s="23" t="s">
        <v>119</v>
      </c>
      <c r="G81" s="30">
        <v>3000</v>
      </c>
    </row>
    <row r="82" spans="1:7" x14ac:dyDescent="0.3">
      <c r="A82" s="23" t="s">
        <v>9</v>
      </c>
      <c r="B82" s="23" t="s">
        <v>1562</v>
      </c>
      <c r="C82" s="23">
        <v>1089953</v>
      </c>
      <c r="D82" s="23" t="s">
        <v>1563</v>
      </c>
      <c r="E82" s="23" t="s">
        <v>201</v>
      </c>
      <c r="F82" s="23" t="s">
        <v>124</v>
      </c>
      <c r="G82" s="30">
        <v>4000</v>
      </c>
    </row>
    <row r="83" spans="1:7" x14ac:dyDescent="0.3">
      <c r="A83" s="23" t="s">
        <v>9</v>
      </c>
      <c r="B83" s="23" t="s">
        <v>178</v>
      </c>
      <c r="C83" s="23">
        <v>1090001</v>
      </c>
      <c r="D83" s="23" t="s">
        <v>1564</v>
      </c>
      <c r="E83" s="23" t="s">
        <v>34</v>
      </c>
      <c r="F83" s="23" t="s">
        <v>129</v>
      </c>
      <c r="G83" s="30">
        <v>4000</v>
      </c>
    </row>
    <row r="84" spans="1:7" s="23" customFormat="1" x14ac:dyDescent="0.3">
      <c r="A84" s="23" t="s">
        <v>9</v>
      </c>
      <c r="B84" s="23" t="s">
        <v>1565</v>
      </c>
      <c r="C84" s="23">
        <v>1089990</v>
      </c>
      <c r="D84" s="23" t="s">
        <v>1566</v>
      </c>
      <c r="E84" s="23" t="s">
        <v>60</v>
      </c>
      <c r="F84" s="23" t="s">
        <v>139</v>
      </c>
      <c r="G84" s="30">
        <v>8000</v>
      </c>
    </row>
    <row r="85" spans="1:7" s="23" customFormat="1" x14ac:dyDescent="0.3">
      <c r="A85" s="23" t="s">
        <v>9</v>
      </c>
      <c r="B85" s="23" t="s">
        <v>432</v>
      </c>
      <c r="C85" s="23">
        <v>1089959</v>
      </c>
      <c r="D85" s="23" t="s">
        <v>1559</v>
      </c>
      <c r="E85" s="23" t="s">
        <v>26</v>
      </c>
      <c r="F85" s="23" t="s">
        <v>557</v>
      </c>
      <c r="G85" s="30">
        <v>2500</v>
      </c>
    </row>
    <row r="86" spans="1:7" s="23" customFormat="1" x14ac:dyDescent="0.3">
      <c r="A86" s="23" t="s">
        <v>9</v>
      </c>
      <c r="B86" s="23" t="s">
        <v>1567</v>
      </c>
      <c r="C86" s="23">
        <v>1089984</v>
      </c>
      <c r="D86" s="23" t="s">
        <v>1568</v>
      </c>
      <c r="E86" s="23" t="s">
        <v>26</v>
      </c>
      <c r="F86" s="23" t="s">
        <v>184</v>
      </c>
      <c r="G86" s="30">
        <v>2500</v>
      </c>
    </row>
    <row r="87" spans="1:7" x14ac:dyDescent="0.3">
      <c r="A87" s="23" t="s">
        <v>9</v>
      </c>
      <c r="B87" s="23" t="s">
        <v>1569</v>
      </c>
      <c r="C87" s="23">
        <v>1089975</v>
      </c>
      <c r="D87" s="23" t="s">
        <v>1570</v>
      </c>
      <c r="E87" s="23" t="s">
        <v>79</v>
      </c>
      <c r="F87" s="23" t="s">
        <v>74</v>
      </c>
      <c r="G87" s="30">
        <v>22000</v>
      </c>
    </row>
    <row r="88" spans="1:7" x14ac:dyDescent="0.3">
      <c r="A88" t="s">
        <v>185</v>
      </c>
      <c r="B88" t="s">
        <v>1571</v>
      </c>
      <c r="C88">
        <v>1089981</v>
      </c>
      <c r="D88" t="s">
        <v>1572</v>
      </c>
      <c r="E88" t="s">
        <v>26</v>
      </c>
      <c r="F88" t="s">
        <v>71</v>
      </c>
      <c r="G88" s="31">
        <v>6500</v>
      </c>
    </row>
    <row r="89" spans="1:7" x14ac:dyDescent="0.3">
      <c r="A89" t="s">
        <v>185</v>
      </c>
      <c r="B89" t="s">
        <v>205</v>
      </c>
      <c r="C89">
        <v>1089945</v>
      </c>
      <c r="D89" t="s">
        <v>1573</v>
      </c>
      <c r="E89" t="s">
        <v>26</v>
      </c>
      <c r="F89" t="s">
        <v>71</v>
      </c>
      <c r="G89" s="31">
        <v>6500</v>
      </c>
    </row>
    <row r="90" spans="1:7" x14ac:dyDescent="0.3">
      <c r="A90" t="s">
        <v>185</v>
      </c>
      <c r="B90" t="s">
        <v>1574</v>
      </c>
      <c r="C90">
        <v>1090000</v>
      </c>
      <c r="D90" t="s">
        <v>1575</v>
      </c>
      <c r="E90" t="s">
        <v>26</v>
      </c>
      <c r="F90" t="s">
        <v>104</v>
      </c>
      <c r="G90" s="31">
        <v>3000</v>
      </c>
    </row>
    <row r="91" spans="1:7" x14ac:dyDescent="0.3">
      <c r="A91" t="s">
        <v>185</v>
      </c>
      <c r="B91" t="s">
        <v>205</v>
      </c>
      <c r="C91">
        <v>1089979</v>
      </c>
      <c r="D91" t="s">
        <v>1576</v>
      </c>
      <c r="E91" t="s">
        <v>26</v>
      </c>
      <c r="F91" t="s">
        <v>124</v>
      </c>
      <c r="G91" s="31">
        <v>3000</v>
      </c>
    </row>
    <row r="92" spans="1:7" x14ac:dyDescent="0.3">
      <c r="A92" t="s">
        <v>185</v>
      </c>
      <c r="B92" t="s">
        <v>205</v>
      </c>
      <c r="C92">
        <v>1089974</v>
      </c>
      <c r="D92" t="s">
        <v>1577</v>
      </c>
      <c r="E92" t="s">
        <v>26</v>
      </c>
      <c r="F92" t="s">
        <v>207</v>
      </c>
      <c r="G92" s="31">
        <v>3000</v>
      </c>
    </row>
    <row r="93" spans="1:7" x14ac:dyDescent="0.3">
      <c r="A93" t="s">
        <v>185</v>
      </c>
      <c r="B93" t="s">
        <v>186</v>
      </c>
      <c r="C93">
        <v>1089999</v>
      </c>
      <c r="D93" t="s">
        <v>1578</v>
      </c>
      <c r="E93" t="s">
        <v>60</v>
      </c>
      <c r="F93" t="s">
        <v>373</v>
      </c>
      <c r="G93" s="31">
        <v>2200</v>
      </c>
    </row>
    <row r="94" spans="1:7" x14ac:dyDescent="0.3">
      <c r="A94" t="s">
        <v>185</v>
      </c>
      <c r="B94" t="s">
        <v>208</v>
      </c>
      <c r="C94">
        <v>1089972</v>
      </c>
      <c r="D94" t="s">
        <v>1579</v>
      </c>
      <c r="E94" t="s">
        <v>160</v>
      </c>
      <c r="F94" t="s">
        <v>373</v>
      </c>
      <c r="G94" s="31">
        <v>4000</v>
      </c>
    </row>
    <row r="95" spans="1:7" x14ac:dyDescent="0.3">
      <c r="A95" t="s">
        <v>185</v>
      </c>
      <c r="B95" t="s">
        <v>208</v>
      </c>
      <c r="C95">
        <v>1089972</v>
      </c>
      <c r="D95" t="s">
        <v>1579</v>
      </c>
      <c r="E95" t="s">
        <v>160</v>
      </c>
      <c r="F95" t="s">
        <v>299</v>
      </c>
      <c r="G95" s="31">
        <v>3000</v>
      </c>
    </row>
    <row r="96" spans="1:7" x14ac:dyDescent="0.3">
      <c r="A96" t="s">
        <v>185</v>
      </c>
      <c r="B96" t="s">
        <v>1580</v>
      </c>
      <c r="C96">
        <v>1089966</v>
      </c>
      <c r="D96" t="s">
        <v>1581</v>
      </c>
      <c r="E96" t="s">
        <v>160</v>
      </c>
      <c r="F96" t="s">
        <v>1582</v>
      </c>
      <c r="G96" s="31">
        <v>2500</v>
      </c>
    </row>
    <row r="97" spans="1:7" s="23" customFormat="1" x14ac:dyDescent="0.3">
      <c r="A97" t="s">
        <v>185</v>
      </c>
      <c r="B97" t="s">
        <v>208</v>
      </c>
      <c r="C97">
        <v>1090018</v>
      </c>
      <c r="D97" t="s">
        <v>1583</v>
      </c>
      <c r="E97" t="s">
        <v>210</v>
      </c>
      <c r="F97" t="s">
        <v>150</v>
      </c>
      <c r="G97" s="31">
        <v>2000</v>
      </c>
    </row>
    <row r="98" spans="1:7" ht="15" thickBot="1" x14ac:dyDescent="0.35">
      <c r="G98" s="47">
        <f>SUM(G2:G97)</f>
        <v>1200600</v>
      </c>
    </row>
    <row r="99" spans="1:7" ht="15" thickTop="1" x14ac:dyDescent="0.3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opLeftCell="A37" workbookViewId="0">
      <selection activeCell="I13" sqref="I13"/>
    </sheetView>
  </sheetViews>
  <sheetFormatPr defaultRowHeight="14.4" x14ac:dyDescent="0.3"/>
  <cols>
    <col min="1" max="1" width="10.6640625" customWidth="1"/>
    <col min="2" max="2" width="32.33203125" customWidth="1"/>
    <col min="3" max="3" width="14.77734375" bestFit="1" customWidth="1"/>
    <col min="4" max="4" width="23.77734375" bestFit="1" customWidth="1"/>
    <col min="5" max="5" width="15.88671875" customWidth="1"/>
    <col min="6" max="6" width="35.44140625" customWidth="1"/>
    <col min="7" max="7" width="10" bestFit="1" customWidth="1"/>
  </cols>
  <sheetData>
    <row r="1" spans="1:7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s="18" customFormat="1" x14ac:dyDescent="0.3">
      <c r="A2" s="18" t="s">
        <v>11</v>
      </c>
      <c r="B2" s="18" t="s">
        <v>1584</v>
      </c>
      <c r="C2" s="18">
        <v>1090097</v>
      </c>
      <c r="D2" s="18" t="s">
        <v>1585</v>
      </c>
      <c r="E2" s="18" t="s">
        <v>26</v>
      </c>
      <c r="F2" s="18" t="s">
        <v>566</v>
      </c>
      <c r="G2" s="19">
        <v>14000</v>
      </c>
    </row>
    <row r="3" spans="1:7" s="18" customFormat="1" x14ac:dyDescent="0.3">
      <c r="A3" s="18" t="s">
        <v>11</v>
      </c>
      <c r="B3" s="18" t="s">
        <v>1586</v>
      </c>
      <c r="C3" s="18">
        <v>1090095</v>
      </c>
      <c r="D3" s="18" t="s">
        <v>1587</v>
      </c>
      <c r="E3" s="18" t="s">
        <v>64</v>
      </c>
      <c r="F3" s="18" t="s">
        <v>465</v>
      </c>
      <c r="G3" s="19">
        <v>12000</v>
      </c>
    </row>
    <row r="4" spans="1:7" s="18" customFormat="1" x14ac:dyDescent="0.3">
      <c r="A4" s="18" t="s">
        <v>11</v>
      </c>
      <c r="B4" s="18" t="s">
        <v>1588</v>
      </c>
      <c r="C4" s="18">
        <v>1090040</v>
      </c>
      <c r="D4" s="18" t="s">
        <v>1589</v>
      </c>
      <c r="E4" s="18" t="s">
        <v>34</v>
      </c>
      <c r="F4" s="18" t="s">
        <v>621</v>
      </c>
      <c r="G4" s="19">
        <v>20000</v>
      </c>
    </row>
    <row r="5" spans="1:7" s="18" customFormat="1" x14ac:dyDescent="0.3">
      <c r="A5" s="18" t="s">
        <v>11</v>
      </c>
      <c r="B5" s="18" t="s">
        <v>1590</v>
      </c>
      <c r="C5" s="18">
        <v>1090035</v>
      </c>
      <c r="D5" s="18" t="s">
        <v>1591</v>
      </c>
      <c r="E5" s="18" t="s">
        <v>38</v>
      </c>
      <c r="F5" s="18" t="s">
        <v>45</v>
      </c>
      <c r="G5" s="19">
        <v>23400</v>
      </c>
    </row>
    <row r="6" spans="1:7" s="18" customFormat="1" x14ac:dyDescent="0.3">
      <c r="A6" s="18" t="s">
        <v>11</v>
      </c>
      <c r="B6" s="18" t="s">
        <v>1592</v>
      </c>
      <c r="C6" s="18">
        <v>1090032</v>
      </c>
      <c r="D6" s="18" t="s">
        <v>1593</v>
      </c>
      <c r="E6" s="18" t="s">
        <v>201</v>
      </c>
      <c r="F6" s="18" t="s">
        <v>957</v>
      </c>
      <c r="G6" s="19">
        <v>54000</v>
      </c>
    </row>
    <row r="7" spans="1:7" s="18" customFormat="1" x14ac:dyDescent="0.3">
      <c r="A7" s="18" t="s">
        <v>11</v>
      </c>
      <c r="B7" s="18" t="s">
        <v>1693</v>
      </c>
      <c r="C7" s="18">
        <v>1090063</v>
      </c>
      <c r="D7" s="18" t="s">
        <v>1594</v>
      </c>
      <c r="E7" s="18" t="s">
        <v>26</v>
      </c>
      <c r="F7" s="18" t="s">
        <v>124</v>
      </c>
      <c r="G7" s="19">
        <v>3000</v>
      </c>
    </row>
    <row r="8" spans="1:7" s="10" customFormat="1" x14ac:dyDescent="0.3">
      <c r="A8" s="10" t="s">
        <v>0</v>
      </c>
      <c r="B8" s="10" t="s">
        <v>1595</v>
      </c>
      <c r="C8" s="10">
        <v>1090064</v>
      </c>
      <c r="D8" s="10" t="s">
        <v>1596</v>
      </c>
      <c r="E8" s="10" t="s">
        <v>34</v>
      </c>
      <c r="F8" s="10" t="s">
        <v>1130</v>
      </c>
      <c r="G8" s="21">
        <v>18000</v>
      </c>
    </row>
    <row r="9" spans="1:7" s="10" customFormat="1" x14ac:dyDescent="0.3">
      <c r="A9" s="10" t="s">
        <v>0</v>
      </c>
      <c r="B9" s="10" t="s">
        <v>1597</v>
      </c>
      <c r="C9" s="10">
        <v>1090079</v>
      </c>
      <c r="D9" s="10" t="s">
        <v>1598</v>
      </c>
      <c r="E9" s="10" t="s">
        <v>79</v>
      </c>
      <c r="F9" s="10" t="s">
        <v>1599</v>
      </c>
      <c r="G9" s="21">
        <v>12000</v>
      </c>
    </row>
    <row r="10" spans="1:7" s="10" customFormat="1" x14ac:dyDescent="0.3">
      <c r="A10" s="10" t="s">
        <v>0</v>
      </c>
      <c r="B10" s="10" t="s">
        <v>1600</v>
      </c>
      <c r="C10" s="10">
        <v>1090077</v>
      </c>
      <c r="D10" s="10" t="s">
        <v>1601</v>
      </c>
      <c r="E10" s="10" t="s">
        <v>34</v>
      </c>
      <c r="F10" s="10" t="s">
        <v>719</v>
      </c>
      <c r="G10" s="21">
        <v>14000</v>
      </c>
    </row>
    <row r="11" spans="1:7" s="10" customFormat="1" x14ac:dyDescent="0.3">
      <c r="A11" s="10" t="s">
        <v>0</v>
      </c>
      <c r="B11" s="10" t="s">
        <v>1265</v>
      </c>
      <c r="C11" s="10">
        <v>1090073</v>
      </c>
      <c r="D11" s="10" t="s">
        <v>1602</v>
      </c>
      <c r="E11" s="10" t="s">
        <v>79</v>
      </c>
      <c r="F11" s="10" t="s">
        <v>51</v>
      </c>
      <c r="G11" s="21">
        <v>18000</v>
      </c>
    </row>
    <row r="12" spans="1:7" s="10" customFormat="1" x14ac:dyDescent="0.3">
      <c r="A12" s="10" t="s">
        <v>0</v>
      </c>
      <c r="B12" s="10" t="s">
        <v>108</v>
      </c>
      <c r="C12" s="10">
        <v>1090058</v>
      </c>
      <c r="D12" s="10" t="s">
        <v>1603</v>
      </c>
      <c r="E12" s="10" t="s">
        <v>26</v>
      </c>
      <c r="F12" s="10" t="s">
        <v>51</v>
      </c>
      <c r="G12" s="21">
        <v>15000</v>
      </c>
    </row>
    <row r="13" spans="1:7" s="10" customFormat="1" x14ac:dyDescent="0.3">
      <c r="A13" s="10" t="s">
        <v>0</v>
      </c>
      <c r="B13" s="10" t="s">
        <v>1604</v>
      </c>
      <c r="C13" s="10">
        <v>1090072</v>
      </c>
      <c r="D13" s="10" t="s">
        <v>1605</v>
      </c>
      <c r="E13" s="10" t="s">
        <v>201</v>
      </c>
      <c r="F13" s="10" t="s">
        <v>51</v>
      </c>
      <c r="G13" s="21">
        <v>18000</v>
      </c>
    </row>
    <row r="14" spans="1:7" s="10" customFormat="1" x14ac:dyDescent="0.3">
      <c r="A14" s="10" t="s">
        <v>0</v>
      </c>
      <c r="B14" s="10" t="s">
        <v>114</v>
      </c>
      <c r="C14" s="10">
        <v>1090039</v>
      </c>
      <c r="D14" s="10" t="s">
        <v>1606</v>
      </c>
      <c r="E14" s="10" t="s">
        <v>26</v>
      </c>
      <c r="F14" s="10" t="s">
        <v>501</v>
      </c>
      <c r="G14" s="21">
        <v>18000</v>
      </c>
    </row>
    <row r="15" spans="1:7" s="10" customFormat="1" x14ac:dyDescent="0.3">
      <c r="A15" s="10" t="s">
        <v>0</v>
      </c>
      <c r="B15" s="10" t="s">
        <v>937</v>
      </c>
      <c r="C15" s="10">
        <v>1090034</v>
      </c>
      <c r="D15" s="10" t="s">
        <v>1607</v>
      </c>
      <c r="E15" s="10" t="s">
        <v>26</v>
      </c>
      <c r="F15" s="10" t="s">
        <v>61</v>
      </c>
      <c r="G15" s="21">
        <v>14000</v>
      </c>
    </row>
    <row r="16" spans="1:7" s="10" customFormat="1" x14ac:dyDescent="0.3">
      <c r="A16" s="10" t="s">
        <v>0</v>
      </c>
      <c r="B16" s="10" t="s">
        <v>1608</v>
      </c>
      <c r="C16" s="10">
        <v>1090024</v>
      </c>
      <c r="D16" s="10" t="s">
        <v>1609</v>
      </c>
      <c r="E16" s="10" t="s">
        <v>26</v>
      </c>
      <c r="F16" s="10" t="s">
        <v>266</v>
      </c>
      <c r="G16" s="21">
        <v>15000</v>
      </c>
    </row>
    <row r="17" spans="1:7" s="10" customFormat="1" x14ac:dyDescent="0.3">
      <c r="A17" s="10" t="s">
        <v>0</v>
      </c>
      <c r="B17" s="10" t="s">
        <v>1610</v>
      </c>
      <c r="C17" s="10">
        <v>1090047</v>
      </c>
      <c r="D17" s="10" t="s">
        <v>1611</v>
      </c>
      <c r="E17" s="10" t="s">
        <v>26</v>
      </c>
      <c r="F17" s="10" t="s">
        <v>71</v>
      </c>
      <c r="G17" s="21">
        <v>6500</v>
      </c>
    </row>
    <row r="18" spans="1:7" s="10" customFormat="1" x14ac:dyDescent="0.3">
      <c r="A18" s="10" t="s">
        <v>0</v>
      </c>
      <c r="B18" s="10" t="s">
        <v>108</v>
      </c>
      <c r="C18" s="10">
        <v>1090050</v>
      </c>
      <c r="D18" s="10" t="s">
        <v>1612</v>
      </c>
      <c r="E18" s="10" t="s">
        <v>26</v>
      </c>
      <c r="F18" s="10" t="s">
        <v>270</v>
      </c>
      <c r="G18" s="21">
        <v>40000</v>
      </c>
    </row>
    <row r="19" spans="1:7" s="10" customFormat="1" x14ac:dyDescent="0.3">
      <c r="A19" s="10" t="s">
        <v>0</v>
      </c>
      <c r="B19" s="10" t="s">
        <v>1613</v>
      </c>
      <c r="C19" s="10">
        <v>1090086</v>
      </c>
      <c r="D19" s="10" t="s">
        <v>1172</v>
      </c>
      <c r="E19" s="10" t="s">
        <v>26</v>
      </c>
      <c r="F19" s="10" t="s">
        <v>74</v>
      </c>
      <c r="G19" s="21">
        <v>20000</v>
      </c>
    </row>
    <row r="20" spans="1:7" s="10" customFormat="1" x14ac:dyDescent="0.3">
      <c r="A20" s="10" t="s">
        <v>0</v>
      </c>
      <c r="B20" s="10" t="s">
        <v>80</v>
      </c>
      <c r="C20" s="10">
        <v>1090101</v>
      </c>
      <c r="D20" s="10" t="s">
        <v>1614</v>
      </c>
      <c r="E20" s="10" t="s">
        <v>26</v>
      </c>
      <c r="F20" s="10" t="s">
        <v>39</v>
      </c>
      <c r="G20" s="21">
        <v>20000</v>
      </c>
    </row>
    <row r="21" spans="1:7" s="10" customFormat="1" x14ac:dyDescent="0.3">
      <c r="A21" s="10" t="s">
        <v>0</v>
      </c>
      <c r="B21" s="10" t="s">
        <v>80</v>
      </c>
      <c r="C21" s="10">
        <v>1090062</v>
      </c>
      <c r="D21" s="10" t="s">
        <v>1615</v>
      </c>
      <c r="E21" s="10" t="s">
        <v>26</v>
      </c>
      <c r="F21" s="10" t="s">
        <v>84</v>
      </c>
      <c r="G21" s="21">
        <v>20000</v>
      </c>
    </row>
    <row r="22" spans="1:7" s="10" customFormat="1" x14ac:dyDescent="0.3">
      <c r="A22" s="10" t="s">
        <v>0</v>
      </c>
      <c r="B22" s="10" t="s">
        <v>1616</v>
      </c>
      <c r="C22" s="10">
        <v>1090030</v>
      </c>
      <c r="D22" s="10" t="s">
        <v>1617</v>
      </c>
      <c r="E22" s="10" t="s">
        <v>34</v>
      </c>
      <c r="F22" s="10" t="s">
        <v>84</v>
      </c>
      <c r="G22" s="21">
        <v>18000</v>
      </c>
    </row>
    <row r="23" spans="1:7" s="10" customFormat="1" x14ac:dyDescent="0.3">
      <c r="A23" s="10" t="s">
        <v>0</v>
      </c>
      <c r="B23" s="10" t="s">
        <v>80</v>
      </c>
      <c r="C23" s="10">
        <v>1090071</v>
      </c>
      <c r="D23" s="10" t="s">
        <v>1618</v>
      </c>
      <c r="E23" s="10" t="s">
        <v>26</v>
      </c>
      <c r="F23" s="10" t="s">
        <v>195</v>
      </c>
      <c r="G23" s="21">
        <v>20000</v>
      </c>
    </row>
    <row r="24" spans="1:7" s="10" customFormat="1" x14ac:dyDescent="0.3">
      <c r="A24" s="10" t="s">
        <v>0</v>
      </c>
      <c r="B24" s="10" t="s">
        <v>1616</v>
      </c>
      <c r="C24" s="10">
        <v>1090030</v>
      </c>
      <c r="D24" s="10" t="s">
        <v>1617</v>
      </c>
      <c r="E24" s="10" t="s">
        <v>34</v>
      </c>
      <c r="F24" s="10" t="s">
        <v>793</v>
      </c>
      <c r="G24" s="21">
        <v>18000</v>
      </c>
    </row>
    <row r="25" spans="1:7" s="10" customFormat="1" x14ac:dyDescent="0.3">
      <c r="A25" s="10" t="s">
        <v>0</v>
      </c>
      <c r="B25" s="10" t="s">
        <v>46</v>
      </c>
      <c r="C25" s="10">
        <v>1090105</v>
      </c>
      <c r="D25" s="10" t="s">
        <v>1619</v>
      </c>
      <c r="E25" s="10" t="s">
        <v>305</v>
      </c>
      <c r="F25" s="10" t="s">
        <v>104</v>
      </c>
      <c r="G25" s="21">
        <v>4000</v>
      </c>
    </row>
    <row r="26" spans="1:7" s="10" customFormat="1" x14ac:dyDescent="0.3">
      <c r="A26" s="10" t="s">
        <v>0</v>
      </c>
      <c r="B26" s="10" t="s">
        <v>1422</v>
      </c>
      <c r="C26" s="10">
        <v>1090085</v>
      </c>
      <c r="D26" s="10" t="s">
        <v>1620</v>
      </c>
      <c r="E26" s="10" t="s">
        <v>26</v>
      </c>
      <c r="F26" s="10" t="s">
        <v>104</v>
      </c>
      <c r="G26" s="21">
        <v>3000</v>
      </c>
    </row>
    <row r="27" spans="1:7" s="10" customFormat="1" x14ac:dyDescent="0.3">
      <c r="A27" s="10" t="s">
        <v>0</v>
      </c>
      <c r="B27" s="10" t="s">
        <v>108</v>
      </c>
      <c r="C27" s="10">
        <v>1090029</v>
      </c>
      <c r="D27" s="10" t="s">
        <v>1612</v>
      </c>
      <c r="E27" s="10" t="s">
        <v>26</v>
      </c>
      <c r="F27" s="10" t="s">
        <v>110</v>
      </c>
      <c r="G27" s="21">
        <v>6000</v>
      </c>
    </row>
    <row r="28" spans="1:7" s="10" customFormat="1" x14ac:dyDescent="0.3">
      <c r="A28" s="10" t="s">
        <v>0</v>
      </c>
      <c r="B28" s="10" t="s">
        <v>709</v>
      </c>
      <c r="C28" s="10">
        <v>1090088</v>
      </c>
      <c r="D28" s="10" t="s">
        <v>1621</v>
      </c>
      <c r="E28" s="10" t="s">
        <v>26</v>
      </c>
      <c r="F28" s="10" t="s">
        <v>337</v>
      </c>
      <c r="G28" s="21">
        <v>4000</v>
      </c>
    </row>
    <row r="29" spans="1:7" s="10" customFormat="1" x14ac:dyDescent="0.3">
      <c r="A29" s="10" t="s">
        <v>0</v>
      </c>
      <c r="B29" s="10" t="s">
        <v>1622</v>
      </c>
      <c r="C29" s="10">
        <v>1090027</v>
      </c>
      <c r="D29" s="10" t="s">
        <v>1623</v>
      </c>
      <c r="E29" s="10" t="s">
        <v>26</v>
      </c>
      <c r="F29" s="10" t="s">
        <v>1527</v>
      </c>
      <c r="G29" s="21">
        <v>18000</v>
      </c>
    </row>
    <row r="30" spans="1:7" s="10" customFormat="1" x14ac:dyDescent="0.3">
      <c r="A30" s="10" t="s">
        <v>0</v>
      </c>
      <c r="B30" s="10" t="s">
        <v>77</v>
      </c>
      <c r="C30" s="10">
        <v>1090061</v>
      </c>
      <c r="D30" s="10" t="s">
        <v>1624</v>
      </c>
      <c r="E30" s="10" t="s">
        <v>26</v>
      </c>
      <c r="F30" s="10" t="s">
        <v>116</v>
      </c>
      <c r="G30" s="21">
        <v>5000</v>
      </c>
    </row>
    <row r="31" spans="1:7" s="10" customFormat="1" x14ac:dyDescent="0.3">
      <c r="A31" s="10" t="s">
        <v>0</v>
      </c>
      <c r="B31" s="10" t="s">
        <v>1281</v>
      </c>
      <c r="C31" s="10">
        <v>1090096</v>
      </c>
      <c r="D31" s="10" t="s">
        <v>1625</v>
      </c>
      <c r="E31" s="10" t="s">
        <v>26</v>
      </c>
      <c r="F31" s="10" t="s">
        <v>119</v>
      </c>
      <c r="G31" s="21">
        <v>3000</v>
      </c>
    </row>
    <row r="32" spans="1:7" s="10" customFormat="1" x14ac:dyDescent="0.3">
      <c r="A32" s="10" t="s">
        <v>0</v>
      </c>
      <c r="B32" s="10" t="s">
        <v>127</v>
      </c>
      <c r="C32" s="10">
        <v>1090076</v>
      </c>
      <c r="D32" s="10" t="s">
        <v>1626</v>
      </c>
      <c r="E32" s="10" t="s">
        <v>198</v>
      </c>
      <c r="F32" s="10" t="s">
        <v>124</v>
      </c>
      <c r="G32" s="21">
        <v>4000</v>
      </c>
    </row>
    <row r="33" spans="1:7" s="10" customFormat="1" x14ac:dyDescent="0.3">
      <c r="A33" s="10" t="s">
        <v>0</v>
      </c>
      <c r="B33" s="10" t="s">
        <v>125</v>
      </c>
      <c r="C33" s="10">
        <v>1090093</v>
      </c>
      <c r="D33" s="10" t="s">
        <v>1627</v>
      </c>
      <c r="E33" s="10" t="s">
        <v>60</v>
      </c>
      <c r="F33" s="10" t="s">
        <v>124</v>
      </c>
      <c r="G33" s="21">
        <v>3000</v>
      </c>
    </row>
    <row r="34" spans="1:7" s="10" customFormat="1" x14ac:dyDescent="0.3">
      <c r="A34" s="10" t="s">
        <v>0</v>
      </c>
      <c r="B34" s="10" t="s">
        <v>127</v>
      </c>
      <c r="C34" s="10">
        <v>1090070</v>
      </c>
      <c r="D34" s="10" t="s">
        <v>1628</v>
      </c>
      <c r="E34" s="10" t="s">
        <v>34</v>
      </c>
      <c r="F34" s="10" t="s">
        <v>124</v>
      </c>
      <c r="G34" s="21">
        <v>4000</v>
      </c>
    </row>
    <row r="35" spans="1:7" s="10" customFormat="1" x14ac:dyDescent="0.3">
      <c r="A35" s="10" t="s">
        <v>0</v>
      </c>
      <c r="B35" s="10" t="s">
        <v>125</v>
      </c>
      <c r="C35" s="10">
        <v>1090036</v>
      </c>
      <c r="D35" s="10" t="s">
        <v>1629</v>
      </c>
      <c r="E35" s="10" t="s">
        <v>26</v>
      </c>
      <c r="F35" s="10" t="s">
        <v>124</v>
      </c>
      <c r="G35" s="21">
        <v>3000</v>
      </c>
    </row>
    <row r="36" spans="1:7" s="10" customFormat="1" x14ac:dyDescent="0.3">
      <c r="A36" s="10" t="s">
        <v>0</v>
      </c>
      <c r="B36" s="10" t="s">
        <v>127</v>
      </c>
      <c r="C36" s="10">
        <v>1090089</v>
      </c>
      <c r="D36" s="10" t="s">
        <v>1630</v>
      </c>
      <c r="E36" s="10" t="s">
        <v>160</v>
      </c>
      <c r="F36" s="10" t="s">
        <v>129</v>
      </c>
      <c r="G36" s="21">
        <v>4000</v>
      </c>
    </row>
    <row r="37" spans="1:7" s="10" customFormat="1" x14ac:dyDescent="0.3">
      <c r="A37" s="10" t="s">
        <v>0</v>
      </c>
      <c r="B37" s="10" t="s">
        <v>130</v>
      </c>
      <c r="C37" s="10">
        <v>1090080</v>
      </c>
      <c r="D37" s="10" t="s">
        <v>1631</v>
      </c>
      <c r="E37" s="10" t="s">
        <v>26</v>
      </c>
      <c r="F37" s="10" t="s">
        <v>129</v>
      </c>
      <c r="G37" s="21">
        <v>3000</v>
      </c>
    </row>
    <row r="38" spans="1:7" s="10" customFormat="1" x14ac:dyDescent="0.3">
      <c r="A38" s="10" t="s">
        <v>0</v>
      </c>
      <c r="B38" s="10" t="s">
        <v>968</v>
      </c>
      <c r="C38" s="10">
        <v>1090094</v>
      </c>
      <c r="D38" s="10" t="s">
        <v>1632</v>
      </c>
      <c r="E38" s="10" t="s">
        <v>26</v>
      </c>
      <c r="F38" s="10" t="s">
        <v>129</v>
      </c>
      <c r="G38" s="21">
        <v>3000</v>
      </c>
    </row>
    <row r="39" spans="1:7" s="10" customFormat="1" x14ac:dyDescent="0.3">
      <c r="A39" s="10" t="s">
        <v>0</v>
      </c>
      <c r="B39" s="10" t="s">
        <v>640</v>
      </c>
      <c r="C39" s="10">
        <v>1090056</v>
      </c>
      <c r="D39" s="10" t="s">
        <v>1633</v>
      </c>
      <c r="E39" s="10" t="s">
        <v>201</v>
      </c>
      <c r="F39" s="10" t="s">
        <v>134</v>
      </c>
      <c r="G39" s="21">
        <v>4000</v>
      </c>
    </row>
    <row r="40" spans="1:7" s="10" customFormat="1" x14ac:dyDescent="0.3">
      <c r="A40" s="10" t="s">
        <v>0</v>
      </c>
      <c r="B40" s="10" t="s">
        <v>135</v>
      </c>
      <c r="C40" s="10">
        <v>1090084</v>
      </c>
      <c r="D40" s="10" t="s">
        <v>1634</v>
      </c>
      <c r="E40" s="10" t="s">
        <v>64</v>
      </c>
      <c r="F40" s="10" t="s">
        <v>373</v>
      </c>
      <c r="G40" s="21">
        <v>2200</v>
      </c>
    </row>
    <row r="41" spans="1:7" s="10" customFormat="1" x14ac:dyDescent="0.3">
      <c r="A41" s="10" t="s">
        <v>0</v>
      </c>
      <c r="B41" s="10" t="s">
        <v>367</v>
      </c>
      <c r="C41" s="10">
        <v>1090043</v>
      </c>
      <c r="D41" s="10" t="s">
        <v>1635</v>
      </c>
      <c r="E41" s="10" t="s">
        <v>201</v>
      </c>
      <c r="F41" s="10" t="s">
        <v>701</v>
      </c>
      <c r="G41" s="21">
        <v>2500</v>
      </c>
    </row>
    <row r="42" spans="1:7" s="10" customFormat="1" x14ac:dyDescent="0.3">
      <c r="A42" s="10" t="s">
        <v>0</v>
      </c>
      <c r="B42" s="10" t="s">
        <v>135</v>
      </c>
      <c r="C42" s="10">
        <v>1090066</v>
      </c>
      <c r="D42" s="10" t="s">
        <v>1636</v>
      </c>
      <c r="E42" s="10" t="s">
        <v>26</v>
      </c>
      <c r="F42" s="10" t="s">
        <v>141</v>
      </c>
      <c r="G42" s="21">
        <v>5000</v>
      </c>
    </row>
    <row r="43" spans="1:7" s="10" customFormat="1" x14ac:dyDescent="0.3">
      <c r="A43" s="10" t="s">
        <v>0</v>
      </c>
      <c r="B43" s="10" t="s">
        <v>367</v>
      </c>
      <c r="C43" s="10">
        <v>1090043</v>
      </c>
      <c r="D43" s="10" t="s">
        <v>1635</v>
      </c>
      <c r="E43" s="10" t="s">
        <v>201</v>
      </c>
      <c r="F43" s="10" t="s">
        <v>708</v>
      </c>
      <c r="G43" s="21">
        <v>2500</v>
      </c>
    </row>
    <row r="44" spans="1:7" s="10" customFormat="1" x14ac:dyDescent="0.3">
      <c r="A44" s="10" t="s">
        <v>0</v>
      </c>
      <c r="B44" s="10" t="s">
        <v>1637</v>
      </c>
      <c r="C44" s="10">
        <v>1090023</v>
      </c>
      <c r="D44" s="10" t="s">
        <v>1638</v>
      </c>
      <c r="E44" s="10" t="s">
        <v>652</v>
      </c>
      <c r="F44" s="10" t="s">
        <v>231</v>
      </c>
      <c r="G44" s="21">
        <v>2500</v>
      </c>
    </row>
    <row r="45" spans="1:7" s="10" customFormat="1" x14ac:dyDescent="0.3">
      <c r="A45" s="10" t="s">
        <v>0</v>
      </c>
      <c r="B45" s="10" t="s">
        <v>135</v>
      </c>
      <c r="C45" s="10">
        <v>1090090</v>
      </c>
      <c r="D45" s="10" t="s">
        <v>1185</v>
      </c>
      <c r="E45" s="10" t="s">
        <v>26</v>
      </c>
      <c r="F45" s="10" t="s">
        <v>231</v>
      </c>
      <c r="G45" s="21">
        <v>2500</v>
      </c>
    </row>
    <row r="46" spans="1:7" s="10" customFormat="1" x14ac:dyDescent="0.3">
      <c r="A46" s="10" t="s">
        <v>0</v>
      </c>
      <c r="B46" s="10" t="s">
        <v>135</v>
      </c>
      <c r="C46" s="10">
        <v>1090055</v>
      </c>
      <c r="D46" s="10" t="s">
        <v>1639</v>
      </c>
      <c r="E46" s="10" t="s">
        <v>26</v>
      </c>
      <c r="F46" s="10" t="s">
        <v>231</v>
      </c>
      <c r="G46" s="21">
        <v>2500</v>
      </c>
    </row>
    <row r="47" spans="1:7" s="23" customFormat="1" x14ac:dyDescent="0.3">
      <c r="A47" s="23" t="s">
        <v>9</v>
      </c>
      <c r="B47" s="23" t="s">
        <v>1640</v>
      </c>
      <c r="C47" s="23">
        <v>1090075</v>
      </c>
      <c r="D47" s="23" t="s">
        <v>1641</v>
      </c>
      <c r="E47" s="23" t="s">
        <v>201</v>
      </c>
      <c r="F47" s="23" t="s">
        <v>498</v>
      </c>
      <c r="G47" s="24">
        <v>22000</v>
      </c>
    </row>
    <row r="48" spans="1:7" s="23" customFormat="1" x14ac:dyDescent="0.3">
      <c r="A48" s="23" t="s">
        <v>9</v>
      </c>
      <c r="B48" s="23" t="s">
        <v>1642</v>
      </c>
      <c r="C48" s="23">
        <v>1090028</v>
      </c>
      <c r="D48" s="23" t="s">
        <v>1643</v>
      </c>
      <c r="E48" s="23" t="s">
        <v>26</v>
      </c>
      <c r="F48" s="23" t="s">
        <v>719</v>
      </c>
      <c r="G48" s="24">
        <v>15000</v>
      </c>
    </row>
    <row r="49" spans="1:7" s="23" customFormat="1" x14ac:dyDescent="0.3">
      <c r="A49" s="23" t="s">
        <v>9</v>
      </c>
      <c r="B49" s="23" t="s">
        <v>1301</v>
      </c>
      <c r="C49" s="23">
        <v>1090091</v>
      </c>
      <c r="D49" s="23" t="s">
        <v>1644</v>
      </c>
      <c r="E49" s="23" t="s">
        <v>79</v>
      </c>
      <c r="F49" s="23" t="s">
        <v>51</v>
      </c>
      <c r="G49" s="24">
        <v>18000</v>
      </c>
    </row>
    <row r="50" spans="1:7" s="23" customFormat="1" x14ac:dyDescent="0.3">
      <c r="A50" s="23" t="s">
        <v>9</v>
      </c>
      <c r="B50" s="23" t="s">
        <v>1640</v>
      </c>
      <c r="C50" s="23">
        <v>1090075</v>
      </c>
      <c r="D50" s="23" t="s">
        <v>1641</v>
      </c>
      <c r="E50" s="23" t="s">
        <v>201</v>
      </c>
      <c r="F50" s="23" t="s">
        <v>54</v>
      </c>
      <c r="G50" s="24">
        <v>12000</v>
      </c>
    </row>
    <row r="51" spans="1:7" s="23" customFormat="1" x14ac:dyDescent="0.3">
      <c r="A51" s="23" t="s">
        <v>9</v>
      </c>
      <c r="B51" s="23" t="s">
        <v>332</v>
      </c>
      <c r="C51" s="23">
        <v>1090037</v>
      </c>
      <c r="D51" s="23" t="s">
        <v>1645</v>
      </c>
      <c r="E51" s="23" t="s">
        <v>26</v>
      </c>
      <c r="F51" s="23" t="s">
        <v>61</v>
      </c>
      <c r="G51" s="24">
        <v>14000</v>
      </c>
    </row>
    <row r="52" spans="1:7" s="23" customFormat="1" x14ac:dyDescent="0.3">
      <c r="A52" s="23" t="s">
        <v>9</v>
      </c>
      <c r="B52" s="23" t="s">
        <v>1646</v>
      </c>
      <c r="C52" s="23">
        <v>1090069</v>
      </c>
      <c r="D52" s="23" t="s">
        <v>1647</v>
      </c>
      <c r="E52" s="23" t="s">
        <v>26</v>
      </c>
      <c r="F52" s="23" t="s">
        <v>65</v>
      </c>
      <c r="G52" s="24">
        <v>12000</v>
      </c>
    </row>
    <row r="53" spans="1:7" s="23" customFormat="1" x14ac:dyDescent="0.3">
      <c r="A53" s="23" t="s">
        <v>9</v>
      </c>
      <c r="B53" s="23" t="s">
        <v>741</v>
      </c>
      <c r="C53" s="23">
        <v>1090078</v>
      </c>
      <c r="D53" s="23" t="s">
        <v>1648</v>
      </c>
      <c r="E53" s="23" t="s">
        <v>305</v>
      </c>
      <c r="F53" s="23" t="s">
        <v>65</v>
      </c>
      <c r="G53" s="24">
        <v>10000</v>
      </c>
    </row>
    <row r="54" spans="1:7" s="23" customFormat="1" x14ac:dyDescent="0.3">
      <c r="A54" s="23" t="s">
        <v>9</v>
      </c>
      <c r="B54" s="23" t="s">
        <v>1078</v>
      </c>
      <c r="C54" s="23">
        <v>1090082</v>
      </c>
      <c r="D54" s="23" t="s">
        <v>1649</v>
      </c>
      <c r="E54" s="23" t="s">
        <v>26</v>
      </c>
      <c r="F54" s="23" t="s">
        <v>74</v>
      </c>
      <c r="G54" s="24">
        <v>20000</v>
      </c>
    </row>
    <row r="55" spans="1:7" s="23" customFormat="1" x14ac:dyDescent="0.3">
      <c r="A55" s="23" t="s">
        <v>9</v>
      </c>
      <c r="B55" s="23" t="s">
        <v>1650</v>
      </c>
      <c r="C55" s="23">
        <v>1090098</v>
      </c>
      <c r="D55" s="23" t="s">
        <v>1651</v>
      </c>
      <c r="E55" s="23" t="s">
        <v>397</v>
      </c>
      <c r="F55" s="23" t="s">
        <v>353</v>
      </c>
      <c r="G55" s="24">
        <v>25000</v>
      </c>
    </row>
    <row r="56" spans="1:7" s="23" customFormat="1" x14ac:dyDescent="0.3">
      <c r="A56" s="23" t="s">
        <v>9</v>
      </c>
      <c r="B56" s="23" t="s">
        <v>1652</v>
      </c>
      <c r="C56" s="23">
        <v>1090060</v>
      </c>
      <c r="D56" s="23" t="s">
        <v>1653</v>
      </c>
      <c r="E56" s="23" t="s">
        <v>26</v>
      </c>
      <c r="F56" s="23" t="s">
        <v>316</v>
      </c>
      <c r="G56" s="24">
        <v>20000</v>
      </c>
    </row>
    <row r="57" spans="1:7" s="23" customFormat="1" x14ac:dyDescent="0.3">
      <c r="A57" s="23" t="s">
        <v>9</v>
      </c>
      <c r="B57" s="23" t="s">
        <v>317</v>
      </c>
      <c r="C57" s="23">
        <v>1090054</v>
      </c>
      <c r="D57" s="23" t="s">
        <v>1654</v>
      </c>
      <c r="E57" s="23" t="s">
        <v>652</v>
      </c>
      <c r="F57" s="23" t="s">
        <v>39</v>
      </c>
      <c r="G57" s="24">
        <v>22000</v>
      </c>
    </row>
    <row r="58" spans="1:7" s="23" customFormat="1" x14ac:dyDescent="0.3">
      <c r="A58" s="23" t="s">
        <v>9</v>
      </c>
      <c r="B58" s="23" t="s">
        <v>1655</v>
      </c>
      <c r="C58" s="23">
        <v>1090053</v>
      </c>
      <c r="D58" s="23" t="s">
        <v>1656</v>
      </c>
      <c r="E58" s="23" t="s">
        <v>34</v>
      </c>
      <c r="F58" s="23" t="s">
        <v>39</v>
      </c>
      <c r="G58" s="24">
        <v>18000</v>
      </c>
    </row>
    <row r="59" spans="1:7" s="23" customFormat="1" x14ac:dyDescent="0.3">
      <c r="A59" s="23" t="s">
        <v>9</v>
      </c>
      <c r="B59" s="23" t="s">
        <v>1657</v>
      </c>
      <c r="C59" s="23">
        <v>1090048</v>
      </c>
      <c r="D59" s="23" t="s">
        <v>1658</v>
      </c>
      <c r="E59" s="23" t="s">
        <v>26</v>
      </c>
      <c r="F59" s="23" t="s">
        <v>39</v>
      </c>
      <c r="G59" s="24">
        <v>20000</v>
      </c>
    </row>
    <row r="60" spans="1:7" s="23" customFormat="1" x14ac:dyDescent="0.3">
      <c r="A60" s="23" t="s">
        <v>9</v>
      </c>
      <c r="B60" s="23" t="s">
        <v>1659</v>
      </c>
      <c r="C60" s="23">
        <v>1090026</v>
      </c>
      <c r="D60" s="23" t="s">
        <v>1660</v>
      </c>
      <c r="E60" s="23" t="s">
        <v>201</v>
      </c>
      <c r="F60" s="23" t="s">
        <v>84</v>
      </c>
      <c r="G60" s="24">
        <v>21000</v>
      </c>
    </row>
    <row r="61" spans="1:7" s="23" customFormat="1" x14ac:dyDescent="0.3">
      <c r="A61" s="23" t="s">
        <v>9</v>
      </c>
      <c r="B61" s="23" t="s">
        <v>174</v>
      </c>
      <c r="C61" s="23">
        <v>1090081</v>
      </c>
      <c r="D61" s="23" t="s">
        <v>1661</v>
      </c>
      <c r="E61" s="23" t="s">
        <v>26</v>
      </c>
      <c r="F61" s="23" t="s">
        <v>116</v>
      </c>
      <c r="G61" s="24">
        <v>5000</v>
      </c>
    </row>
    <row r="62" spans="1:7" x14ac:dyDescent="0.3">
      <c r="A62" s="23" t="s">
        <v>9</v>
      </c>
      <c r="B62" s="23" t="s">
        <v>720</v>
      </c>
      <c r="C62" s="23">
        <v>1090033</v>
      </c>
      <c r="D62" s="23" t="s">
        <v>1662</v>
      </c>
      <c r="E62" s="23" t="s">
        <v>26</v>
      </c>
      <c r="F62" s="23" t="s">
        <v>116</v>
      </c>
      <c r="G62" s="24">
        <v>5000</v>
      </c>
    </row>
    <row r="63" spans="1:7" x14ac:dyDescent="0.3">
      <c r="A63" s="23" t="s">
        <v>9</v>
      </c>
      <c r="B63" s="23" t="s">
        <v>1663</v>
      </c>
      <c r="C63" s="23">
        <v>1090065</v>
      </c>
      <c r="D63" s="23" t="s">
        <v>1664</v>
      </c>
      <c r="E63" s="23" t="s">
        <v>26</v>
      </c>
      <c r="F63" s="23" t="s">
        <v>116</v>
      </c>
      <c r="G63" s="24">
        <v>5000</v>
      </c>
    </row>
    <row r="64" spans="1:7" x14ac:dyDescent="0.3">
      <c r="A64" s="23" t="s">
        <v>9</v>
      </c>
      <c r="B64" s="23" t="s">
        <v>741</v>
      </c>
      <c r="C64" s="23">
        <v>1090074</v>
      </c>
      <c r="D64" s="23" t="s">
        <v>1665</v>
      </c>
      <c r="E64" s="23" t="s">
        <v>26</v>
      </c>
      <c r="F64" s="23" t="s">
        <v>119</v>
      </c>
      <c r="G64" s="24">
        <v>3000</v>
      </c>
    </row>
    <row r="65" spans="1:7" s="23" customFormat="1" x14ac:dyDescent="0.3">
      <c r="A65" s="23" t="s">
        <v>9</v>
      </c>
      <c r="B65" s="23" t="s">
        <v>174</v>
      </c>
      <c r="C65" s="23">
        <v>1090081</v>
      </c>
      <c r="D65" s="23" t="s">
        <v>1661</v>
      </c>
      <c r="E65" s="23" t="s">
        <v>26</v>
      </c>
      <c r="F65" s="23" t="s">
        <v>207</v>
      </c>
      <c r="G65" s="24">
        <v>3000</v>
      </c>
    </row>
    <row r="66" spans="1:7" s="23" customFormat="1" x14ac:dyDescent="0.3">
      <c r="A66" s="23" t="s">
        <v>9</v>
      </c>
      <c r="B66" s="23" t="s">
        <v>169</v>
      </c>
      <c r="C66" s="23">
        <v>1090025</v>
      </c>
      <c r="D66" s="23" t="s">
        <v>1666</v>
      </c>
      <c r="E66" s="23" t="s">
        <v>160</v>
      </c>
      <c r="F66" s="23" t="s">
        <v>211</v>
      </c>
      <c r="G66" s="24">
        <v>2500</v>
      </c>
    </row>
    <row r="67" spans="1:7" x14ac:dyDescent="0.3">
      <c r="A67" s="23" t="s">
        <v>9</v>
      </c>
      <c r="B67" s="23" t="s">
        <v>1667</v>
      </c>
      <c r="C67" s="23">
        <v>1090031</v>
      </c>
      <c r="D67" s="23" t="s">
        <v>1668</v>
      </c>
      <c r="E67" s="23" t="s">
        <v>201</v>
      </c>
      <c r="F67" s="23" t="s">
        <v>373</v>
      </c>
      <c r="G67" s="24">
        <v>2200</v>
      </c>
    </row>
    <row r="68" spans="1:7" s="23" customFormat="1" x14ac:dyDescent="0.3">
      <c r="A68" s="23" t="s">
        <v>9</v>
      </c>
      <c r="B68" s="23" t="s">
        <v>1567</v>
      </c>
      <c r="C68" s="23">
        <v>1090042</v>
      </c>
      <c r="D68" s="23" t="s">
        <v>1669</v>
      </c>
      <c r="E68" s="23" t="s">
        <v>26</v>
      </c>
      <c r="F68" s="23" t="s">
        <v>184</v>
      </c>
      <c r="G68" s="24">
        <v>2500</v>
      </c>
    </row>
    <row r="69" spans="1:7" s="23" customFormat="1" x14ac:dyDescent="0.3">
      <c r="A69" s="23" t="s">
        <v>9</v>
      </c>
      <c r="B69" s="23" t="s">
        <v>1567</v>
      </c>
      <c r="C69" s="23">
        <v>1090067</v>
      </c>
      <c r="D69" s="23" t="s">
        <v>1670</v>
      </c>
      <c r="E69" s="23" t="s">
        <v>26</v>
      </c>
      <c r="F69" s="23" t="s">
        <v>184</v>
      </c>
      <c r="G69" s="24">
        <v>2500</v>
      </c>
    </row>
    <row r="70" spans="1:7" x14ac:dyDescent="0.3">
      <c r="A70" t="s">
        <v>185</v>
      </c>
      <c r="B70" t="s">
        <v>1671</v>
      </c>
      <c r="C70">
        <v>1090049</v>
      </c>
      <c r="D70" t="s">
        <v>1672</v>
      </c>
      <c r="E70" t="s">
        <v>60</v>
      </c>
      <c r="F70" t="s">
        <v>1673</v>
      </c>
      <c r="G70" s="16">
        <v>12000</v>
      </c>
    </row>
    <row r="71" spans="1:7" x14ac:dyDescent="0.3">
      <c r="A71" t="s">
        <v>185</v>
      </c>
      <c r="B71" t="s">
        <v>1674</v>
      </c>
      <c r="C71">
        <v>1090041</v>
      </c>
      <c r="D71" t="s">
        <v>1675</v>
      </c>
      <c r="E71" t="s">
        <v>26</v>
      </c>
      <c r="F71" t="s">
        <v>74</v>
      </c>
      <c r="G71" s="16">
        <v>20000</v>
      </c>
    </row>
    <row r="72" spans="1:7" x14ac:dyDescent="0.3">
      <c r="A72" t="s">
        <v>185</v>
      </c>
      <c r="B72" t="s">
        <v>1674</v>
      </c>
      <c r="C72">
        <v>1090041</v>
      </c>
      <c r="D72" t="s">
        <v>1675</v>
      </c>
      <c r="E72" t="s">
        <v>26</v>
      </c>
      <c r="F72" t="s">
        <v>316</v>
      </c>
      <c r="G72" s="16">
        <v>20000</v>
      </c>
    </row>
    <row r="73" spans="1:7" x14ac:dyDescent="0.3">
      <c r="A73" t="s">
        <v>185</v>
      </c>
      <c r="B73" t="s">
        <v>1232</v>
      </c>
      <c r="C73">
        <v>1090046</v>
      </c>
      <c r="D73" t="s">
        <v>1676</v>
      </c>
      <c r="E73" t="s">
        <v>482</v>
      </c>
      <c r="F73" t="s">
        <v>39</v>
      </c>
      <c r="G73" s="16">
        <v>20000</v>
      </c>
    </row>
    <row r="74" spans="1:7" x14ac:dyDescent="0.3">
      <c r="A74" t="s">
        <v>185</v>
      </c>
      <c r="B74" t="s">
        <v>747</v>
      </c>
      <c r="C74">
        <v>1090044</v>
      </c>
      <c r="D74" t="s">
        <v>1677</v>
      </c>
      <c r="E74" t="s">
        <v>26</v>
      </c>
      <c r="F74" t="s">
        <v>84</v>
      </c>
      <c r="G74" s="16">
        <v>20000</v>
      </c>
    </row>
    <row r="75" spans="1:7" x14ac:dyDescent="0.3">
      <c r="A75" t="s">
        <v>185</v>
      </c>
      <c r="B75" t="s">
        <v>1678</v>
      </c>
      <c r="C75">
        <v>1090051</v>
      </c>
      <c r="D75" t="s">
        <v>1679</v>
      </c>
      <c r="E75" t="s">
        <v>26</v>
      </c>
      <c r="F75" t="s">
        <v>92</v>
      </c>
      <c r="G75" s="16">
        <v>28000</v>
      </c>
    </row>
    <row r="76" spans="1:7" x14ac:dyDescent="0.3">
      <c r="A76" t="s">
        <v>185</v>
      </c>
      <c r="B76" t="s">
        <v>1671</v>
      </c>
      <c r="C76">
        <v>1090068</v>
      </c>
      <c r="D76" t="s">
        <v>1680</v>
      </c>
      <c r="E76" t="s">
        <v>201</v>
      </c>
      <c r="F76" t="s">
        <v>113</v>
      </c>
      <c r="G76" s="16">
        <v>5000</v>
      </c>
    </row>
    <row r="77" spans="1:7" x14ac:dyDescent="0.3">
      <c r="A77" t="s">
        <v>185</v>
      </c>
      <c r="B77" t="s">
        <v>189</v>
      </c>
      <c r="C77">
        <v>1090045</v>
      </c>
      <c r="D77" t="s">
        <v>1681</v>
      </c>
      <c r="E77" t="s">
        <v>26</v>
      </c>
      <c r="F77" t="s">
        <v>142</v>
      </c>
      <c r="G77" s="16">
        <v>2000</v>
      </c>
    </row>
    <row r="78" spans="1:7" x14ac:dyDescent="0.3">
      <c r="A78" t="s">
        <v>185</v>
      </c>
      <c r="B78" t="s">
        <v>186</v>
      </c>
      <c r="C78">
        <v>1090099</v>
      </c>
      <c r="D78" t="s">
        <v>1682</v>
      </c>
      <c r="E78" t="s">
        <v>26</v>
      </c>
      <c r="F78" t="s">
        <v>220</v>
      </c>
      <c r="G78" s="16">
        <v>2000</v>
      </c>
    </row>
    <row r="79" spans="1:7" x14ac:dyDescent="0.3">
      <c r="A79" t="s">
        <v>185</v>
      </c>
      <c r="B79" t="s">
        <v>208</v>
      </c>
      <c r="C79">
        <v>1090103</v>
      </c>
      <c r="D79" t="s">
        <v>1683</v>
      </c>
      <c r="E79" t="s">
        <v>210</v>
      </c>
      <c r="F79" t="s">
        <v>222</v>
      </c>
      <c r="G79" s="16">
        <v>2000</v>
      </c>
    </row>
    <row r="80" spans="1:7" x14ac:dyDescent="0.3">
      <c r="A80" t="s">
        <v>185</v>
      </c>
      <c r="B80" t="s">
        <v>208</v>
      </c>
      <c r="C80">
        <v>1090104</v>
      </c>
      <c r="D80" t="s">
        <v>1684</v>
      </c>
      <c r="E80" t="s">
        <v>210</v>
      </c>
      <c r="F80" t="s">
        <v>150</v>
      </c>
      <c r="G80" s="16">
        <v>2000</v>
      </c>
    </row>
    <row r="81" spans="1:7" x14ac:dyDescent="0.3">
      <c r="A81" t="s">
        <v>185</v>
      </c>
      <c r="B81" t="s">
        <v>208</v>
      </c>
      <c r="C81">
        <v>1090103</v>
      </c>
      <c r="D81" t="s">
        <v>1683</v>
      </c>
      <c r="E81" t="s">
        <v>210</v>
      </c>
      <c r="F81" t="s">
        <v>150</v>
      </c>
      <c r="G81" s="16">
        <v>2000</v>
      </c>
    </row>
    <row r="82" spans="1:7" x14ac:dyDescent="0.3">
      <c r="A82" t="s">
        <v>185</v>
      </c>
      <c r="B82" t="s">
        <v>208</v>
      </c>
      <c r="C82">
        <v>1090102</v>
      </c>
      <c r="D82" t="s">
        <v>1685</v>
      </c>
      <c r="E82" t="s">
        <v>210</v>
      </c>
      <c r="F82" t="s">
        <v>1686</v>
      </c>
      <c r="G82" s="16">
        <v>2000</v>
      </c>
    </row>
    <row r="83" spans="1:7" x14ac:dyDescent="0.3">
      <c r="A83" t="s">
        <v>185</v>
      </c>
      <c r="B83" t="s">
        <v>189</v>
      </c>
      <c r="C83">
        <v>1090100</v>
      </c>
      <c r="D83" t="s">
        <v>1687</v>
      </c>
      <c r="E83" t="s">
        <v>26</v>
      </c>
      <c r="F83" t="s">
        <v>226</v>
      </c>
      <c r="G83" s="16">
        <v>2500</v>
      </c>
    </row>
    <row r="84" spans="1:7" x14ac:dyDescent="0.3">
      <c r="A84" t="s">
        <v>185</v>
      </c>
      <c r="B84" t="s">
        <v>208</v>
      </c>
      <c r="C84">
        <v>1090103</v>
      </c>
      <c r="D84" t="s">
        <v>1683</v>
      </c>
      <c r="E84" t="s">
        <v>210</v>
      </c>
      <c r="F84" t="s">
        <v>226</v>
      </c>
      <c r="G84" s="16">
        <v>2000</v>
      </c>
    </row>
    <row r="85" spans="1:7" x14ac:dyDescent="0.3">
      <c r="A85" t="s">
        <v>185</v>
      </c>
      <c r="B85" t="s">
        <v>1671</v>
      </c>
      <c r="C85">
        <v>1090083</v>
      </c>
      <c r="D85" t="s">
        <v>1688</v>
      </c>
      <c r="E85" t="s">
        <v>201</v>
      </c>
      <c r="F85" t="s">
        <v>226</v>
      </c>
      <c r="G85" s="16">
        <v>1800</v>
      </c>
    </row>
    <row r="86" spans="1:7" x14ac:dyDescent="0.3">
      <c r="A86" t="s">
        <v>185</v>
      </c>
      <c r="B86" t="s">
        <v>186</v>
      </c>
      <c r="C86">
        <v>1090059</v>
      </c>
      <c r="D86" t="s">
        <v>1689</v>
      </c>
      <c r="E86" t="s">
        <v>160</v>
      </c>
      <c r="F86" t="s">
        <v>226</v>
      </c>
      <c r="G86" s="16">
        <v>2500</v>
      </c>
    </row>
    <row r="87" spans="1:7" x14ac:dyDescent="0.3">
      <c r="A87" t="s">
        <v>185</v>
      </c>
      <c r="B87" t="s">
        <v>747</v>
      </c>
      <c r="C87">
        <v>1090044</v>
      </c>
      <c r="D87" t="s">
        <v>1677</v>
      </c>
      <c r="E87" t="s">
        <v>26</v>
      </c>
      <c r="F87" t="s">
        <v>152</v>
      </c>
      <c r="G87" s="16">
        <v>4000</v>
      </c>
    </row>
    <row r="88" spans="1:7" x14ac:dyDescent="0.3">
      <c r="A88" t="s">
        <v>185</v>
      </c>
      <c r="B88" t="s">
        <v>747</v>
      </c>
      <c r="C88">
        <v>1090044</v>
      </c>
      <c r="D88" t="s">
        <v>1677</v>
      </c>
      <c r="E88" t="s">
        <v>26</v>
      </c>
      <c r="F88" t="s">
        <v>233</v>
      </c>
      <c r="G88" s="16">
        <v>2500</v>
      </c>
    </row>
    <row r="89" spans="1:7" x14ac:dyDescent="0.3">
      <c r="A89" t="s">
        <v>185</v>
      </c>
      <c r="B89" t="s">
        <v>1690</v>
      </c>
      <c r="C89">
        <v>1090057</v>
      </c>
      <c r="D89" t="s">
        <v>1691</v>
      </c>
      <c r="E89" t="s">
        <v>26</v>
      </c>
      <c r="F89" t="s">
        <v>1692</v>
      </c>
      <c r="G89" s="16">
        <v>3000</v>
      </c>
    </row>
    <row r="90" spans="1:7" ht="15" thickBot="1" x14ac:dyDescent="0.35">
      <c r="G90" s="53">
        <f>SUM(G2:G89)</f>
        <v>956600</v>
      </c>
    </row>
    <row r="91" spans="1:7" ht="15" thickTop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4" workbookViewId="0">
      <selection activeCell="G13" sqref="G13"/>
    </sheetView>
  </sheetViews>
  <sheetFormatPr defaultRowHeight="14.4" x14ac:dyDescent="0.3"/>
  <cols>
    <col min="2" max="2" width="22" customWidth="1"/>
    <col min="7" max="7" width="15.5546875" customWidth="1"/>
    <col min="8" max="8" width="28.77734375" customWidth="1"/>
    <col min="9" max="9" width="24" customWidth="1"/>
    <col min="10" max="10" width="15.21875" customWidth="1"/>
  </cols>
  <sheetData>
    <row r="1" spans="1:11" s="46" customFormat="1" x14ac:dyDescent="0.3">
      <c r="A1" s="1" t="s">
        <v>13</v>
      </c>
      <c r="B1" s="1" t="s">
        <v>14</v>
      </c>
      <c r="C1" s="1" t="s">
        <v>15</v>
      </c>
      <c r="D1" s="3" t="s">
        <v>16</v>
      </c>
      <c r="E1" s="3" t="s">
        <v>17</v>
      </c>
      <c r="F1" s="3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s="10" customFormat="1" x14ac:dyDescent="0.3">
      <c r="A2" s="18" t="s">
        <v>11</v>
      </c>
      <c r="B2" s="18" t="s">
        <v>1352</v>
      </c>
      <c r="C2" s="18"/>
      <c r="D2" s="18"/>
      <c r="E2" s="18"/>
      <c r="F2" s="18"/>
      <c r="G2" s="18">
        <v>1090108</v>
      </c>
      <c r="H2" s="18" t="s">
        <v>1696</v>
      </c>
      <c r="I2" s="18" t="s">
        <v>26</v>
      </c>
      <c r="J2" s="18" t="s">
        <v>51</v>
      </c>
      <c r="K2" s="27">
        <v>15000</v>
      </c>
    </row>
    <row r="3" spans="1:11" s="18" customFormat="1" x14ac:dyDescent="0.3">
      <c r="A3" s="18" t="s">
        <v>11</v>
      </c>
      <c r="B3" s="18" t="s">
        <v>1588</v>
      </c>
      <c r="G3" s="18">
        <v>1090125</v>
      </c>
      <c r="H3" s="18" t="s">
        <v>1697</v>
      </c>
      <c r="I3" s="18" t="s">
        <v>201</v>
      </c>
      <c r="J3" s="18" t="s">
        <v>621</v>
      </c>
      <c r="K3" s="27">
        <v>24000</v>
      </c>
    </row>
    <row r="4" spans="1:11" s="18" customFormat="1" x14ac:dyDescent="0.3">
      <c r="A4" s="18" t="s">
        <v>11</v>
      </c>
      <c r="B4" s="18" t="s">
        <v>1698</v>
      </c>
      <c r="G4" s="18">
        <v>1090119</v>
      </c>
      <c r="H4" s="18" t="s">
        <v>1699</v>
      </c>
      <c r="I4" s="18" t="s">
        <v>201</v>
      </c>
      <c r="J4" s="18" t="s">
        <v>84</v>
      </c>
      <c r="K4" s="27">
        <v>21000</v>
      </c>
    </row>
    <row r="5" spans="1:11" s="18" customFormat="1" x14ac:dyDescent="0.3">
      <c r="A5" s="18" t="s">
        <v>11</v>
      </c>
      <c r="B5" s="18" t="s">
        <v>1588</v>
      </c>
      <c r="G5" s="18">
        <v>1090125</v>
      </c>
      <c r="H5" s="18" t="s">
        <v>1697</v>
      </c>
      <c r="I5" s="18" t="s">
        <v>201</v>
      </c>
      <c r="J5" s="18" t="s">
        <v>45</v>
      </c>
      <c r="K5" s="27">
        <v>24000</v>
      </c>
    </row>
    <row r="6" spans="1:11" s="18" customFormat="1" x14ac:dyDescent="0.3">
      <c r="A6" s="18" t="s">
        <v>11</v>
      </c>
      <c r="B6" s="18" t="s">
        <v>1700</v>
      </c>
      <c r="G6" s="18">
        <v>1090137</v>
      </c>
      <c r="H6" s="18" t="s">
        <v>1701</v>
      </c>
      <c r="I6" s="18" t="s">
        <v>57</v>
      </c>
      <c r="J6" s="18" t="s">
        <v>45</v>
      </c>
      <c r="K6" s="27">
        <v>20000</v>
      </c>
    </row>
    <row r="7" spans="1:11" s="18" customFormat="1" x14ac:dyDescent="0.3">
      <c r="A7" s="18" t="s">
        <v>11</v>
      </c>
      <c r="B7" s="18" t="s">
        <v>395</v>
      </c>
      <c r="G7" s="18">
        <v>1090106</v>
      </c>
      <c r="H7" s="18" t="s">
        <v>1702</v>
      </c>
      <c r="I7" s="18" t="s">
        <v>26</v>
      </c>
      <c r="J7" s="18" t="s">
        <v>98</v>
      </c>
      <c r="K7" s="27">
        <v>26000</v>
      </c>
    </row>
    <row r="8" spans="1:11" s="18" customFormat="1" x14ac:dyDescent="0.3">
      <c r="A8" s="18" t="s">
        <v>11</v>
      </c>
      <c r="B8" s="18" t="s">
        <v>1703</v>
      </c>
      <c r="G8" s="18">
        <v>1090116</v>
      </c>
      <c r="H8" s="18" t="s">
        <v>1704</v>
      </c>
      <c r="I8" s="18" t="s">
        <v>26</v>
      </c>
      <c r="J8" s="18" t="s">
        <v>141</v>
      </c>
      <c r="K8" s="27">
        <v>5000</v>
      </c>
    </row>
    <row r="9" spans="1:11" s="18" customFormat="1" x14ac:dyDescent="0.3">
      <c r="A9" s="18" t="s">
        <v>11</v>
      </c>
      <c r="B9" s="18" t="s">
        <v>1703</v>
      </c>
      <c r="G9" s="18">
        <v>1090116</v>
      </c>
      <c r="H9" s="18" t="s">
        <v>1704</v>
      </c>
      <c r="I9" s="18" t="s">
        <v>26</v>
      </c>
      <c r="J9" s="18" t="s">
        <v>233</v>
      </c>
      <c r="K9" s="27">
        <v>2500</v>
      </c>
    </row>
    <row r="10" spans="1:11" s="18" customFormat="1" x14ac:dyDescent="0.3">
      <c r="A10" s="10" t="s">
        <v>0</v>
      </c>
      <c r="B10" s="10" t="s">
        <v>1318</v>
      </c>
      <c r="C10" s="10"/>
      <c r="D10" s="10"/>
      <c r="E10" s="10"/>
      <c r="F10" s="10"/>
      <c r="G10" s="10">
        <v>1090112</v>
      </c>
      <c r="H10" s="10" t="s">
        <v>1705</v>
      </c>
      <c r="I10" s="10" t="s">
        <v>160</v>
      </c>
      <c r="J10" s="10" t="s">
        <v>1706</v>
      </c>
      <c r="K10" s="29">
        <v>20000</v>
      </c>
    </row>
    <row r="11" spans="1:11" s="10" customFormat="1" x14ac:dyDescent="0.3">
      <c r="A11" s="10" t="s">
        <v>0</v>
      </c>
      <c r="B11" s="10" t="s">
        <v>117</v>
      </c>
      <c r="G11" s="10">
        <v>1090109</v>
      </c>
      <c r="H11" s="10" t="s">
        <v>1707</v>
      </c>
      <c r="I11" s="10" t="s">
        <v>26</v>
      </c>
      <c r="J11" s="10" t="s">
        <v>719</v>
      </c>
      <c r="K11" s="29">
        <v>15000</v>
      </c>
    </row>
    <row r="12" spans="1:11" s="10" customFormat="1" x14ac:dyDescent="0.3">
      <c r="A12" s="10" t="s">
        <v>0</v>
      </c>
      <c r="B12" s="10" t="s">
        <v>1163</v>
      </c>
      <c r="G12" s="10">
        <v>1090149</v>
      </c>
      <c r="H12" s="10" t="s">
        <v>1708</v>
      </c>
      <c r="I12" s="10" t="s">
        <v>160</v>
      </c>
      <c r="J12" s="10" t="s">
        <v>27</v>
      </c>
      <c r="K12" s="29">
        <v>10000</v>
      </c>
    </row>
    <row r="13" spans="1:11" s="10" customFormat="1" x14ac:dyDescent="0.3">
      <c r="A13" s="10" t="s">
        <v>0</v>
      </c>
      <c r="B13" s="10" t="s">
        <v>1709</v>
      </c>
      <c r="G13" s="10">
        <v>1090122</v>
      </c>
      <c r="H13" s="10" t="s">
        <v>1710</v>
      </c>
      <c r="I13" s="10" t="s">
        <v>201</v>
      </c>
      <c r="J13" s="10" t="s">
        <v>74</v>
      </c>
      <c r="K13" s="29">
        <v>21000</v>
      </c>
    </row>
    <row r="14" spans="1:11" s="10" customFormat="1" x14ac:dyDescent="0.3">
      <c r="A14" s="10" t="s">
        <v>0</v>
      </c>
      <c r="B14" s="10" t="s">
        <v>1711</v>
      </c>
      <c r="G14" s="10">
        <v>1090113</v>
      </c>
      <c r="H14" s="10" t="s">
        <v>1712</v>
      </c>
      <c r="I14" s="10" t="s">
        <v>26</v>
      </c>
      <c r="J14" s="10" t="s">
        <v>516</v>
      </c>
      <c r="K14" s="29">
        <v>27000</v>
      </c>
    </row>
    <row r="15" spans="1:11" s="10" customFormat="1" x14ac:dyDescent="0.3">
      <c r="A15" s="10" t="s">
        <v>0</v>
      </c>
      <c r="B15" s="10" t="s">
        <v>108</v>
      </c>
      <c r="G15" s="10">
        <v>1090126</v>
      </c>
      <c r="H15" s="10" t="s">
        <v>1713</v>
      </c>
      <c r="I15" s="10" t="s">
        <v>26</v>
      </c>
      <c r="J15" s="10" t="s">
        <v>516</v>
      </c>
      <c r="K15" s="29">
        <v>27000</v>
      </c>
    </row>
    <row r="16" spans="1:11" s="10" customFormat="1" x14ac:dyDescent="0.3">
      <c r="A16" s="10" t="s">
        <v>0</v>
      </c>
      <c r="B16" s="10" t="s">
        <v>1714</v>
      </c>
      <c r="G16" s="10">
        <v>1090115</v>
      </c>
      <c r="H16" s="10" t="s">
        <v>1715</v>
      </c>
      <c r="I16" s="10" t="s">
        <v>64</v>
      </c>
      <c r="J16" s="10" t="s">
        <v>39</v>
      </c>
      <c r="K16" s="29">
        <v>18000</v>
      </c>
    </row>
    <row r="17" spans="1:11" s="10" customFormat="1" x14ac:dyDescent="0.3">
      <c r="A17" s="10" t="s">
        <v>0</v>
      </c>
      <c r="B17" s="10" t="s">
        <v>125</v>
      </c>
      <c r="G17" s="10">
        <v>1090107</v>
      </c>
      <c r="H17" s="10" t="s">
        <v>1716</v>
      </c>
      <c r="I17" s="10" t="s">
        <v>26</v>
      </c>
      <c r="J17" s="10" t="s">
        <v>45</v>
      </c>
      <c r="K17" s="29">
        <v>25000</v>
      </c>
    </row>
    <row r="18" spans="1:11" s="10" customFormat="1" x14ac:dyDescent="0.3">
      <c r="A18" s="10" t="s">
        <v>0</v>
      </c>
      <c r="B18" s="10" t="s">
        <v>1717</v>
      </c>
      <c r="G18" s="10">
        <v>1090111</v>
      </c>
      <c r="H18" s="10" t="s">
        <v>1718</v>
      </c>
      <c r="I18" s="10" t="s">
        <v>26</v>
      </c>
      <c r="J18" s="10" t="s">
        <v>195</v>
      </c>
      <c r="K18" s="29">
        <v>20000</v>
      </c>
    </row>
    <row r="19" spans="1:11" s="10" customFormat="1" x14ac:dyDescent="0.3">
      <c r="A19" s="10" t="s">
        <v>0</v>
      </c>
      <c r="B19" s="10" t="s">
        <v>260</v>
      </c>
      <c r="G19" s="10">
        <v>1090134</v>
      </c>
      <c r="H19" s="10" t="s">
        <v>1719</v>
      </c>
      <c r="I19" s="10" t="s">
        <v>64</v>
      </c>
      <c r="J19" s="10" t="s">
        <v>119</v>
      </c>
      <c r="K19" s="29">
        <v>4000</v>
      </c>
    </row>
    <row r="20" spans="1:11" s="10" customFormat="1" x14ac:dyDescent="0.3">
      <c r="A20" s="10" t="s">
        <v>0</v>
      </c>
      <c r="B20" s="10" t="s">
        <v>125</v>
      </c>
      <c r="G20" s="10">
        <v>1090127</v>
      </c>
      <c r="H20" s="10" t="s">
        <v>1720</v>
      </c>
      <c r="I20" s="10" t="s">
        <v>26</v>
      </c>
      <c r="J20" s="10" t="s">
        <v>124</v>
      </c>
      <c r="K20" s="29">
        <v>3000</v>
      </c>
    </row>
    <row r="21" spans="1:11" s="10" customFormat="1" x14ac:dyDescent="0.3">
      <c r="A21" s="10" t="s">
        <v>0</v>
      </c>
      <c r="B21" s="10" t="s">
        <v>130</v>
      </c>
      <c r="G21" s="10">
        <v>1090132</v>
      </c>
      <c r="H21" s="10" t="s">
        <v>1721</v>
      </c>
      <c r="I21" s="10" t="s">
        <v>160</v>
      </c>
      <c r="J21" s="10" t="s">
        <v>129</v>
      </c>
      <c r="K21" s="29">
        <v>4000</v>
      </c>
    </row>
    <row r="22" spans="1:11" s="10" customFormat="1" x14ac:dyDescent="0.3">
      <c r="A22" s="10" t="s">
        <v>0</v>
      </c>
      <c r="B22" s="10" t="s">
        <v>130</v>
      </c>
      <c r="G22" s="10">
        <v>1090141</v>
      </c>
      <c r="H22" s="10" t="s">
        <v>1722</v>
      </c>
      <c r="I22" s="10" t="s">
        <v>305</v>
      </c>
      <c r="J22" s="10" t="s">
        <v>129</v>
      </c>
      <c r="K22" s="29">
        <v>4000</v>
      </c>
    </row>
    <row r="23" spans="1:11" s="10" customFormat="1" x14ac:dyDescent="0.3">
      <c r="A23" s="10" t="s">
        <v>0</v>
      </c>
      <c r="B23" s="10" t="s">
        <v>537</v>
      </c>
      <c r="G23" s="10">
        <v>1090117</v>
      </c>
      <c r="H23" s="10" t="s">
        <v>1723</v>
      </c>
      <c r="I23" s="10" t="s">
        <v>26</v>
      </c>
      <c r="J23" s="10" t="s">
        <v>129</v>
      </c>
      <c r="K23" s="29">
        <v>3000</v>
      </c>
    </row>
    <row r="24" spans="1:11" s="10" customFormat="1" x14ac:dyDescent="0.3">
      <c r="A24" s="10" t="s">
        <v>0</v>
      </c>
      <c r="B24" s="10" t="s">
        <v>1724</v>
      </c>
      <c r="G24" s="10">
        <v>1090114</v>
      </c>
      <c r="H24" s="10" t="s">
        <v>1725</v>
      </c>
      <c r="I24" s="10" t="s">
        <v>64</v>
      </c>
      <c r="J24" s="10" t="s">
        <v>129</v>
      </c>
      <c r="K24" s="29">
        <v>4000</v>
      </c>
    </row>
    <row r="25" spans="1:11" s="10" customFormat="1" x14ac:dyDescent="0.3">
      <c r="A25" s="10" t="s">
        <v>0</v>
      </c>
      <c r="B25" s="10" t="s">
        <v>709</v>
      </c>
      <c r="G25" s="10">
        <v>1090139</v>
      </c>
      <c r="H25" s="10" t="s">
        <v>1726</v>
      </c>
      <c r="I25" s="10" t="s">
        <v>26</v>
      </c>
      <c r="J25" s="10" t="s">
        <v>142</v>
      </c>
      <c r="K25" s="29">
        <v>2000</v>
      </c>
    </row>
    <row r="26" spans="1:11" s="10" customFormat="1" x14ac:dyDescent="0.3">
      <c r="A26" s="10" t="s">
        <v>0</v>
      </c>
      <c r="B26" s="10" t="s">
        <v>1727</v>
      </c>
      <c r="G26" s="10">
        <v>1090140</v>
      </c>
      <c r="H26" s="10" t="s">
        <v>1728</v>
      </c>
      <c r="I26" s="10" t="s">
        <v>26</v>
      </c>
      <c r="J26" s="10" t="s">
        <v>220</v>
      </c>
      <c r="K26" s="29">
        <v>2500</v>
      </c>
    </row>
    <row r="27" spans="1:11" s="10" customFormat="1" x14ac:dyDescent="0.3">
      <c r="A27" s="10" t="s">
        <v>0</v>
      </c>
      <c r="B27" s="10" t="s">
        <v>297</v>
      </c>
      <c r="G27" s="10">
        <v>1090123</v>
      </c>
      <c r="H27" s="10" t="s">
        <v>1729</v>
      </c>
      <c r="I27" s="10" t="s">
        <v>60</v>
      </c>
      <c r="J27" s="10" t="s">
        <v>231</v>
      </c>
      <c r="K27" s="29">
        <v>2500</v>
      </c>
    </row>
    <row r="28" spans="1:11" s="23" customFormat="1" x14ac:dyDescent="0.3">
      <c r="A28" s="23" t="s">
        <v>9</v>
      </c>
      <c r="B28" s="23" t="s">
        <v>1567</v>
      </c>
      <c r="G28" s="23">
        <v>1090136</v>
      </c>
      <c r="H28" s="23" t="s">
        <v>1730</v>
      </c>
      <c r="I28" s="23" t="s">
        <v>26</v>
      </c>
      <c r="J28" s="23" t="s">
        <v>65</v>
      </c>
      <c r="K28" s="30">
        <v>12000</v>
      </c>
    </row>
    <row r="29" spans="1:11" s="23" customFormat="1" x14ac:dyDescent="0.3">
      <c r="A29" s="23" t="s">
        <v>9</v>
      </c>
      <c r="B29" s="23" t="s">
        <v>1731</v>
      </c>
      <c r="G29" s="23">
        <v>1090128</v>
      </c>
      <c r="H29" s="23" t="s">
        <v>1732</v>
      </c>
      <c r="I29" s="23" t="s">
        <v>26</v>
      </c>
      <c r="J29" s="23" t="s">
        <v>65</v>
      </c>
      <c r="K29" s="30">
        <v>12000</v>
      </c>
    </row>
    <row r="30" spans="1:11" s="23" customFormat="1" x14ac:dyDescent="0.3">
      <c r="A30" s="23" t="s">
        <v>9</v>
      </c>
      <c r="B30" s="23" t="s">
        <v>580</v>
      </c>
      <c r="G30" s="23">
        <v>1090138</v>
      </c>
      <c r="H30" s="23" t="s">
        <v>1733</v>
      </c>
      <c r="I30" s="23" t="s">
        <v>482</v>
      </c>
      <c r="J30" s="23" t="s">
        <v>39</v>
      </c>
      <c r="K30" s="30">
        <v>20000</v>
      </c>
    </row>
    <row r="31" spans="1:11" s="23" customFormat="1" x14ac:dyDescent="0.3">
      <c r="A31" s="23" t="s">
        <v>9</v>
      </c>
      <c r="B31" s="23" t="s">
        <v>1734</v>
      </c>
      <c r="G31" s="23">
        <v>1090124</v>
      </c>
      <c r="H31" s="23" t="s">
        <v>1735</v>
      </c>
      <c r="I31" s="23" t="s">
        <v>60</v>
      </c>
      <c r="J31" s="23" t="s">
        <v>45</v>
      </c>
      <c r="K31" s="30">
        <v>20000</v>
      </c>
    </row>
    <row r="32" spans="1:11" s="23" customFormat="1" x14ac:dyDescent="0.3">
      <c r="A32" s="23" t="s">
        <v>9</v>
      </c>
      <c r="B32" s="23" t="s">
        <v>1736</v>
      </c>
      <c r="G32" s="23">
        <v>1090131</v>
      </c>
      <c r="H32" s="23" t="s">
        <v>1737</v>
      </c>
      <c r="I32" s="23" t="s">
        <v>305</v>
      </c>
      <c r="J32" s="23" t="s">
        <v>45</v>
      </c>
      <c r="K32" s="30">
        <v>25000</v>
      </c>
    </row>
    <row r="33" spans="1:11" s="23" customFormat="1" x14ac:dyDescent="0.3">
      <c r="A33" s="23" t="s">
        <v>9</v>
      </c>
      <c r="B33" s="23" t="s">
        <v>1663</v>
      </c>
      <c r="G33" s="23">
        <v>1090110</v>
      </c>
      <c r="H33" s="23" t="s">
        <v>1664</v>
      </c>
      <c r="I33" s="23" t="s">
        <v>26</v>
      </c>
      <c r="J33" s="23" t="s">
        <v>98</v>
      </c>
      <c r="K33" s="30">
        <v>26000</v>
      </c>
    </row>
    <row r="34" spans="1:11" s="23" customFormat="1" x14ac:dyDescent="0.3">
      <c r="A34" s="23" t="s">
        <v>9</v>
      </c>
      <c r="B34" s="23" t="s">
        <v>1738</v>
      </c>
      <c r="G34" s="23">
        <v>1090130</v>
      </c>
      <c r="H34" s="23" t="s">
        <v>1739</v>
      </c>
      <c r="I34" s="23" t="s">
        <v>411</v>
      </c>
      <c r="J34" s="23" t="s">
        <v>957</v>
      </c>
      <c r="K34" s="30">
        <v>55000</v>
      </c>
    </row>
    <row r="35" spans="1:11" s="23" customFormat="1" x14ac:dyDescent="0.3">
      <c r="A35" s="23" t="s">
        <v>9</v>
      </c>
      <c r="B35" s="23" t="s">
        <v>1009</v>
      </c>
      <c r="G35" s="23">
        <v>1090129</v>
      </c>
      <c r="H35" s="23" t="s">
        <v>1740</v>
      </c>
      <c r="I35" s="23" t="s">
        <v>305</v>
      </c>
      <c r="J35" s="23" t="s">
        <v>124</v>
      </c>
      <c r="K35" s="30">
        <v>4000</v>
      </c>
    </row>
    <row r="36" spans="1:11" x14ac:dyDescent="0.3">
      <c r="A36" t="s">
        <v>185</v>
      </c>
      <c r="B36" t="s">
        <v>1329</v>
      </c>
      <c r="G36">
        <v>1090120</v>
      </c>
      <c r="H36" t="s">
        <v>1741</v>
      </c>
      <c r="I36" t="s">
        <v>201</v>
      </c>
      <c r="J36" t="s">
        <v>45</v>
      </c>
      <c r="K36" s="31">
        <v>24000</v>
      </c>
    </row>
    <row r="37" spans="1:11" x14ac:dyDescent="0.3">
      <c r="A37" t="s">
        <v>185</v>
      </c>
      <c r="B37" t="s">
        <v>1742</v>
      </c>
      <c r="G37">
        <v>1090142</v>
      </c>
      <c r="H37" t="s">
        <v>1743</v>
      </c>
      <c r="I37" t="s">
        <v>26</v>
      </c>
      <c r="J37" t="s">
        <v>793</v>
      </c>
      <c r="K37" s="31">
        <v>20000</v>
      </c>
    </row>
    <row r="38" spans="1:11" x14ac:dyDescent="0.3">
      <c r="A38" t="s">
        <v>185</v>
      </c>
      <c r="B38" t="s">
        <v>189</v>
      </c>
      <c r="G38">
        <v>1090133</v>
      </c>
      <c r="H38" t="s">
        <v>1744</v>
      </c>
      <c r="I38" t="s">
        <v>26</v>
      </c>
      <c r="J38" t="s">
        <v>116</v>
      </c>
      <c r="K38" s="31">
        <v>5000</v>
      </c>
    </row>
    <row r="39" spans="1:11" x14ac:dyDescent="0.3">
      <c r="A39" t="s">
        <v>185</v>
      </c>
      <c r="B39" t="s">
        <v>1745</v>
      </c>
      <c r="G39">
        <v>1090118</v>
      </c>
      <c r="H39" t="s">
        <v>1746</v>
      </c>
      <c r="I39" t="s">
        <v>26</v>
      </c>
      <c r="J39" t="s">
        <v>124</v>
      </c>
      <c r="K39" s="31">
        <v>3000</v>
      </c>
    </row>
    <row r="40" spans="1:11" x14ac:dyDescent="0.3">
      <c r="A40" t="s">
        <v>185</v>
      </c>
      <c r="B40" t="s">
        <v>189</v>
      </c>
      <c r="G40">
        <v>1090144</v>
      </c>
      <c r="H40" t="s">
        <v>1747</v>
      </c>
      <c r="I40" t="s">
        <v>26</v>
      </c>
      <c r="J40" t="s">
        <v>124</v>
      </c>
      <c r="K40" s="31">
        <v>3000</v>
      </c>
    </row>
    <row r="41" spans="1:11" x14ac:dyDescent="0.3">
      <c r="A41" t="s">
        <v>185</v>
      </c>
      <c r="B41" t="s">
        <v>1748</v>
      </c>
      <c r="G41">
        <v>1090143</v>
      </c>
      <c r="H41" t="s">
        <v>1749</v>
      </c>
      <c r="I41" t="s">
        <v>26</v>
      </c>
      <c r="J41" t="s">
        <v>124</v>
      </c>
      <c r="K41" s="31">
        <v>3000</v>
      </c>
    </row>
    <row r="42" spans="1:11" x14ac:dyDescent="0.3">
      <c r="A42" t="s">
        <v>185</v>
      </c>
      <c r="B42" t="s">
        <v>189</v>
      </c>
      <c r="G42">
        <v>1090145</v>
      </c>
      <c r="H42" t="s">
        <v>969</v>
      </c>
      <c r="I42" t="s">
        <v>26</v>
      </c>
      <c r="J42" t="s">
        <v>1750</v>
      </c>
      <c r="K42">
        <v>500</v>
      </c>
    </row>
    <row r="43" spans="1:11" x14ac:dyDescent="0.3">
      <c r="A43" t="s">
        <v>185</v>
      </c>
      <c r="B43" t="s">
        <v>208</v>
      </c>
      <c r="G43">
        <v>1090147</v>
      </c>
      <c r="H43" t="s">
        <v>1751</v>
      </c>
      <c r="I43" t="s">
        <v>210</v>
      </c>
      <c r="J43" t="s">
        <v>231</v>
      </c>
      <c r="K43" s="31">
        <v>2500</v>
      </c>
    </row>
    <row r="44" spans="1:11" x14ac:dyDescent="0.3">
      <c r="A44" t="s">
        <v>185</v>
      </c>
      <c r="B44" t="s">
        <v>208</v>
      </c>
      <c r="G44">
        <v>1090148</v>
      </c>
      <c r="H44" t="s">
        <v>1752</v>
      </c>
      <c r="I44" t="s">
        <v>210</v>
      </c>
      <c r="J44" t="s">
        <v>231</v>
      </c>
      <c r="K44" s="31">
        <v>2500</v>
      </c>
    </row>
    <row r="45" spans="1:11" x14ac:dyDescent="0.3">
      <c r="A45" t="s">
        <v>185</v>
      </c>
      <c r="B45" t="s">
        <v>208</v>
      </c>
      <c r="G45">
        <v>1090148</v>
      </c>
      <c r="H45" t="s">
        <v>1752</v>
      </c>
      <c r="I45" t="s">
        <v>210</v>
      </c>
      <c r="J45" t="s">
        <v>233</v>
      </c>
      <c r="K45" s="31">
        <v>2500</v>
      </c>
    </row>
    <row r="46" spans="1:11" x14ac:dyDescent="0.3">
      <c r="A46" t="s">
        <v>185</v>
      </c>
      <c r="B46" t="s">
        <v>208</v>
      </c>
      <c r="G46">
        <v>1090146</v>
      </c>
      <c r="H46" t="s">
        <v>1753</v>
      </c>
      <c r="I46" t="s">
        <v>210</v>
      </c>
      <c r="J46" t="s">
        <v>237</v>
      </c>
      <c r="K46" s="31">
        <v>2000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workbookViewId="0">
      <selection activeCell="C17" sqref="C17"/>
    </sheetView>
  </sheetViews>
  <sheetFormatPr defaultRowHeight="14.4" x14ac:dyDescent="0.3"/>
  <cols>
    <col min="1" max="1" width="15.77734375" customWidth="1"/>
    <col min="2" max="2" width="15.44140625" customWidth="1"/>
    <col min="3" max="3" width="18.77734375" customWidth="1"/>
    <col min="5" max="5" width="8.77734375" style="2"/>
  </cols>
  <sheetData>
    <row r="2" spans="1:5" x14ac:dyDescent="0.3">
      <c r="A2" s="1" t="s">
        <v>1754</v>
      </c>
    </row>
    <row r="4" spans="1:5" x14ac:dyDescent="0.3">
      <c r="A4" t="s">
        <v>0</v>
      </c>
      <c r="B4" t="s">
        <v>1</v>
      </c>
      <c r="C4" t="s">
        <v>2</v>
      </c>
      <c r="D4" t="s">
        <v>3</v>
      </c>
      <c r="E4" s="2" t="s">
        <v>4</v>
      </c>
    </row>
    <row r="5" spans="1:5" x14ac:dyDescent="0.3">
      <c r="A5" t="s">
        <v>5</v>
      </c>
      <c r="B5">
        <v>14</v>
      </c>
      <c r="C5">
        <v>77</v>
      </c>
      <c r="D5">
        <v>79</v>
      </c>
      <c r="E5" s="2">
        <f>D5/C5</f>
        <v>1.025974025974026</v>
      </c>
    </row>
    <row r="6" spans="1:5" x14ac:dyDescent="0.3">
      <c r="A6" t="s">
        <v>6</v>
      </c>
      <c r="B6">
        <v>13</v>
      </c>
      <c r="C6">
        <v>72</v>
      </c>
      <c r="D6">
        <v>42</v>
      </c>
      <c r="E6" s="2">
        <f>D6/C6</f>
        <v>0.58333333333333337</v>
      </c>
    </row>
    <row r="7" spans="1:5" x14ac:dyDescent="0.3">
      <c r="A7" t="s">
        <v>7</v>
      </c>
      <c r="B7">
        <v>15</v>
      </c>
      <c r="C7">
        <v>83</v>
      </c>
      <c r="D7">
        <v>91</v>
      </c>
      <c r="E7" s="2">
        <f>D7/C7</f>
        <v>1.0963855421686748</v>
      </c>
    </row>
    <row r="8" spans="1:5" x14ac:dyDescent="0.3">
      <c r="A8" t="s">
        <v>8</v>
      </c>
      <c r="B8">
        <v>18</v>
      </c>
      <c r="C8">
        <v>99</v>
      </c>
      <c r="D8">
        <v>71</v>
      </c>
      <c r="E8" s="2">
        <f>D8/C8</f>
        <v>0.71717171717171713</v>
      </c>
    </row>
    <row r="10" spans="1:5" x14ac:dyDescent="0.3">
      <c r="A10" t="s">
        <v>9</v>
      </c>
      <c r="B10" t="s">
        <v>10</v>
      </c>
      <c r="D10" t="s">
        <v>3</v>
      </c>
      <c r="E10" s="2" t="s">
        <v>4</v>
      </c>
    </row>
    <row r="11" spans="1:5" x14ac:dyDescent="0.3">
      <c r="A11" t="s">
        <v>5</v>
      </c>
      <c r="B11">
        <v>7</v>
      </c>
      <c r="C11">
        <v>39</v>
      </c>
      <c r="D11">
        <v>46</v>
      </c>
      <c r="E11" s="2">
        <f>D11/C11</f>
        <v>1.1794871794871795</v>
      </c>
    </row>
    <row r="12" spans="1:5" x14ac:dyDescent="0.3">
      <c r="A12" t="s">
        <v>6</v>
      </c>
      <c r="B12">
        <v>6</v>
      </c>
      <c r="C12">
        <v>33</v>
      </c>
      <c r="D12">
        <v>18</v>
      </c>
      <c r="E12" s="2">
        <f>D12/C12</f>
        <v>0.54545454545454541</v>
      </c>
    </row>
    <row r="13" spans="1:5" x14ac:dyDescent="0.3">
      <c r="A13" t="s">
        <v>7</v>
      </c>
      <c r="B13">
        <v>5</v>
      </c>
      <c r="C13">
        <v>28</v>
      </c>
      <c r="D13">
        <v>25</v>
      </c>
      <c r="E13" s="2">
        <f>D13/C13</f>
        <v>0.8928571428571429</v>
      </c>
    </row>
    <row r="14" spans="1:5" x14ac:dyDescent="0.3">
      <c r="A14" t="s">
        <v>8</v>
      </c>
      <c r="B14">
        <v>7</v>
      </c>
      <c r="C14">
        <v>39</v>
      </c>
      <c r="D14">
        <v>24</v>
      </c>
      <c r="E14" s="2">
        <f>D14/C14</f>
        <v>0.61538461538461542</v>
      </c>
    </row>
    <row r="17" spans="1:5" x14ac:dyDescent="0.3">
      <c r="A17" t="s">
        <v>11</v>
      </c>
      <c r="B17" t="s">
        <v>10</v>
      </c>
      <c r="D17" t="s">
        <v>3</v>
      </c>
      <c r="E17" s="2" t="s">
        <v>4</v>
      </c>
    </row>
    <row r="18" spans="1:5" x14ac:dyDescent="0.3">
      <c r="A18" t="s">
        <v>5</v>
      </c>
      <c r="B18">
        <v>6</v>
      </c>
      <c r="C18">
        <v>33</v>
      </c>
      <c r="D18" s="54">
        <v>29</v>
      </c>
      <c r="E18" s="2">
        <f>D18/C18</f>
        <v>0.87878787878787878</v>
      </c>
    </row>
    <row r="19" spans="1:5" x14ac:dyDescent="0.3">
      <c r="A19" t="s">
        <v>6</v>
      </c>
      <c r="B19">
        <v>5</v>
      </c>
      <c r="C19">
        <v>28</v>
      </c>
      <c r="D19" s="54">
        <v>7</v>
      </c>
      <c r="E19" s="2">
        <f>D19/C19</f>
        <v>0.25</v>
      </c>
    </row>
    <row r="20" spans="1:5" x14ac:dyDescent="0.3">
      <c r="A20" t="s">
        <v>7</v>
      </c>
      <c r="B20">
        <v>5</v>
      </c>
      <c r="C20">
        <v>28</v>
      </c>
      <c r="D20" s="54">
        <v>11</v>
      </c>
      <c r="E20" s="2">
        <f>D20/C20</f>
        <v>0.39285714285714285</v>
      </c>
    </row>
    <row r="21" spans="1:5" x14ac:dyDescent="0.3">
      <c r="A21" t="s">
        <v>8</v>
      </c>
      <c r="B21">
        <v>5</v>
      </c>
      <c r="C21">
        <v>28</v>
      </c>
      <c r="D21" s="54">
        <v>15</v>
      </c>
      <c r="E21" s="2">
        <f>D21/C21</f>
        <v>0.5357142857142857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8"/>
  <sheetViews>
    <sheetView tabSelected="1" workbookViewId="0">
      <selection activeCell="C323" sqref="C323:C499"/>
    </sheetView>
  </sheetViews>
  <sheetFormatPr defaultRowHeight="14.4" x14ac:dyDescent="0.3"/>
  <cols>
    <col min="1" max="1" width="10.5546875" bestFit="1" customWidth="1"/>
    <col min="3" max="3" width="20.77734375" customWidth="1"/>
    <col min="5" max="5" width="19.44140625" customWidth="1"/>
    <col min="6" max="6" width="20.77734375" customWidth="1"/>
    <col min="7" max="7" width="25.21875" customWidth="1"/>
    <col min="8" max="8" width="11.77734375" bestFit="1" customWidth="1"/>
    <col min="9" max="9" width="10.21875" bestFit="1" customWidth="1"/>
  </cols>
  <sheetData>
    <row r="1" spans="1:11" s="46" customFormat="1" x14ac:dyDescent="0.3">
      <c r="A1" s="46" t="s">
        <v>2269</v>
      </c>
      <c r="B1" s="1" t="s">
        <v>13</v>
      </c>
      <c r="C1" s="1" t="s">
        <v>14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11" s="18" customFormat="1" x14ac:dyDescent="0.3">
      <c r="A2" s="55">
        <v>46132</v>
      </c>
      <c r="B2" s="18" t="s">
        <v>11</v>
      </c>
      <c r="C2" s="18" t="s">
        <v>1755</v>
      </c>
      <c r="D2" s="18">
        <v>1090219</v>
      </c>
      <c r="E2" s="18" t="s">
        <v>1756</v>
      </c>
      <c r="F2" s="18" t="s">
        <v>34</v>
      </c>
      <c r="G2" s="18" t="s">
        <v>51</v>
      </c>
      <c r="H2" s="27">
        <v>18000</v>
      </c>
    </row>
    <row r="3" spans="1:11" s="18" customFormat="1" x14ac:dyDescent="0.3">
      <c r="A3" s="55">
        <v>46132</v>
      </c>
      <c r="B3" s="18" t="s">
        <v>11</v>
      </c>
      <c r="C3" s="18" t="s">
        <v>1757</v>
      </c>
      <c r="D3" s="18">
        <v>1090150</v>
      </c>
      <c r="E3" s="18" t="s">
        <v>1758</v>
      </c>
      <c r="F3" s="18" t="s">
        <v>26</v>
      </c>
      <c r="G3" s="18" t="s">
        <v>39</v>
      </c>
      <c r="H3" s="27">
        <v>20000</v>
      </c>
    </row>
    <row r="4" spans="1:11" s="18" customFormat="1" x14ac:dyDescent="0.3">
      <c r="A4" s="55">
        <v>46132</v>
      </c>
      <c r="B4" s="18" t="s">
        <v>11</v>
      </c>
      <c r="C4" s="18" t="s">
        <v>785</v>
      </c>
      <c r="D4" s="18">
        <v>1090220</v>
      </c>
      <c r="E4" s="18" t="s">
        <v>1759</v>
      </c>
      <c r="F4" s="18" t="s">
        <v>26</v>
      </c>
      <c r="G4" s="18" t="s">
        <v>84</v>
      </c>
      <c r="H4" s="27">
        <v>20000</v>
      </c>
    </row>
    <row r="5" spans="1:11" s="18" customFormat="1" x14ac:dyDescent="0.3">
      <c r="A5" s="55">
        <v>46132</v>
      </c>
      <c r="B5" s="18" t="s">
        <v>11</v>
      </c>
      <c r="C5" s="18" t="s">
        <v>32</v>
      </c>
      <c r="D5" s="18">
        <v>1090202</v>
      </c>
      <c r="E5" s="18" t="s">
        <v>1760</v>
      </c>
      <c r="F5" s="18" t="s">
        <v>64</v>
      </c>
      <c r="G5" s="18" t="s">
        <v>92</v>
      </c>
      <c r="H5" s="27">
        <v>33600</v>
      </c>
    </row>
    <row r="6" spans="1:11" s="18" customFormat="1" x14ac:dyDescent="0.3">
      <c r="A6" s="55">
        <v>46132</v>
      </c>
      <c r="B6" s="18" t="s">
        <v>11</v>
      </c>
      <c r="C6" s="18" t="s">
        <v>1761</v>
      </c>
      <c r="D6" s="18">
        <v>1090218</v>
      </c>
      <c r="E6" s="18" t="s">
        <v>1762</v>
      </c>
      <c r="F6" s="18" t="s">
        <v>201</v>
      </c>
      <c r="G6" s="18" t="s">
        <v>98</v>
      </c>
      <c r="H6" s="27">
        <v>29000</v>
      </c>
    </row>
    <row r="7" spans="1:11" s="18" customFormat="1" x14ac:dyDescent="0.3">
      <c r="A7" s="55">
        <v>46132</v>
      </c>
      <c r="B7" s="18" t="s">
        <v>11</v>
      </c>
      <c r="C7" s="18" t="s">
        <v>1763</v>
      </c>
      <c r="D7" s="18">
        <v>1090199</v>
      </c>
      <c r="E7" s="18" t="s">
        <v>1764</v>
      </c>
      <c r="F7" s="18" t="s">
        <v>26</v>
      </c>
      <c r="G7" s="18" t="s">
        <v>116</v>
      </c>
      <c r="H7" s="27">
        <v>5000</v>
      </c>
    </row>
    <row r="8" spans="1:11" s="18" customFormat="1" x14ac:dyDescent="0.3">
      <c r="A8" s="55">
        <v>46132</v>
      </c>
      <c r="B8" s="18" t="s">
        <v>11</v>
      </c>
      <c r="C8" s="18" t="s">
        <v>240</v>
      </c>
      <c r="D8" s="18">
        <v>1090158</v>
      </c>
      <c r="E8" s="18" t="s">
        <v>1765</v>
      </c>
      <c r="F8" s="18" t="s">
        <v>26</v>
      </c>
      <c r="G8" s="18" t="s">
        <v>124</v>
      </c>
      <c r="H8" s="27">
        <v>3000</v>
      </c>
    </row>
    <row r="9" spans="1:11" s="18" customFormat="1" x14ac:dyDescent="0.3">
      <c r="A9" s="55">
        <v>46132</v>
      </c>
      <c r="B9" s="18" t="s">
        <v>11</v>
      </c>
      <c r="C9" s="18" t="s">
        <v>240</v>
      </c>
      <c r="D9" s="18">
        <v>1090170</v>
      </c>
      <c r="E9" s="18" t="s">
        <v>1766</v>
      </c>
      <c r="F9" s="18" t="s">
        <v>26</v>
      </c>
      <c r="G9" s="18" t="s">
        <v>124</v>
      </c>
      <c r="H9" s="27">
        <v>3000</v>
      </c>
      <c r="I9" s="27"/>
      <c r="K9" s="28"/>
    </row>
    <row r="10" spans="1:11" s="10" customFormat="1" x14ac:dyDescent="0.3">
      <c r="A10" s="55">
        <v>46132</v>
      </c>
      <c r="B10" s="10" t="s">
        <v>0</v>
      </c>
      <c r="C10" s="10" t="s">
        <v>1188</v>
      </c>
      <c r="D10" s="10">
        <v>1090225</v>
      </c>
      <c r="E10" s="10" t="s">
        <v>1767</v>
      </c>
      <c r="F10" s="10" t="s">
        <v>64</v>
      </c>
      <c r="G10" s="10" t="s">
        <v>499</v>
      </c>
      <c r="H10" s="29">
        <v>18000</v>
      </c>
    </row>
    <row r="11" spans="1:11" s="10" customFormat="1" x14ac:dyDescent="0.3">
      <c r="A11" s="55">
        <v>46132</v>
      </c>
      <c r="B11" s="10" t="s">
        <v>0</v>
      </c>
      <c r="C11" s="10" t="s">
        <v>271</v>
      </c>
      <c r="D11" s="10">
        <v>1090166</v>
      </c>
      <c r="E11" s="10" t="s">
        <v>1768</v>
      </c>
      <c r="F11" s="10" t="s">
        <v>482</v>
      </c>
      <c r="G11" s="10" t="s">
        <v>51</v>
      </c>
      <c r="H11" s="29">
        <v>18000</v>
      </c>
    </row>
    <row r="12" spans="1:11" s="10" customFormat="1" x14ac:dyDescent="0.3">
      <c r="A12" s="55">
        <v>46132</v>
      </c>
      <c r="B12" s="10" t="s">
        <v>0</v>
      </c>
      <c r="C12" s="10" t="s">
        <v>709</v>
      </c>
      <c r="D12" s="10">
        <v>1090226</v>
      </c>
      <c r="E12" s="10" t="s">
        <v>1769</v>
      </c>
      <c r="F12" s="10" t="s">
        <v>26</v>
      </c>
      <c r="G12" s="10" t="s">
        <v>51</v>
      </c>
      <c r="H12" s="29">
        <v>15000</v>
      </c>
    </row>
    <row r="13" spans="1:11" s="10" customFormat="1" x14ac:dyDescent="0.3">
      <c r="A13" s="55">
        <v>46132</v>
      </c>
      <c r="B13" s="10" t="s">
        <v>0</v>
      </c>
      <c r="C13" s="10" t="s">
        <v>77</v>
      </c>
      <c r="D13" s="10">
        <v>1090198</v>
      </c>
      <c r="E13" s="10" t="s">
        <v>1770</v>
      </c>
      <c r="F13" s="10" t="s">
        <v>26</v>
      </c>
      <c r="G13" s="10" t="s">
        <v>27</v>
      </c>
      <c r="H13" s="29">
        <v>12000</v>
      </c>
    </row>
    <row r="14" spans="1:11" s="10" customFormat="1" x14ac:dyDescent="0.3">
      <c r="A14" s="55">
        <v>46132</v>
      </c>
      <c r="B14" s="10" t="s">
        <v>0</v>
      </c>
      <c r="C14" s="10" t="s">
        <v>135</v>
      </c>
      <c r="D14" s="10">
        <v>1090181</v>
      </c>
      <c r="E14" s="10" t="s">
        <v>1771</v>
      </c>
      <c r="F14" s="10" t="s">
        <v>26</v>
      </c>
      <c r="G14" s="10" t="s">
        <v>54</v>
      </c>
      <c r="H14" s="29">
        <v>14000</v>
      </c>
    </row>
    <row r="15" spans="1:11" s="10" customFormat="1" x14ac:dyDescent="0.3">
      <c r="A15" s="55">
        <v>46132</v>
      </c>
      <c r="B15" s="10" t="s">
        <v>0</v>
      </c>
      <c r="C15" s="10" t="s">
        <v>1772</v>
      </c>
      <c r="D15" s="10">
        <v>1090161</v>
      </c>
      <c r="E15" s="10" t="s">
        <v>1773</v>
      </c>
      <c r="F15" s="10" t="s">
        <v>26</v>
      </c>
      <c r="G15" s="10" t="s">
        <v>65</v>
      </c>
      <c r="H15" s="29">
        <v>12000</v>
      </c>
    </row>
    <row r="16" spans="1:11" s="10" customFormat="1" x14ac:dyDescent="0.3">
      <c r="A16" s="55">
        <v>46132</v>
      </c>
      <c r="B16" s="10" t="s">
        <v>0</v>
      </c>
      <c r="C16" s="10" t="s">
        <v>1774</v>
      </c>
      <c r="D16" s="10">
        <v>1090179</v>
      </c>
      <c r="E16" s="10" t="s">
        <v>1775</v>
      </c>
      <c r="F16" s="10" t="s">
        <v>26</v>
      </c>
      <c r="G16" s="10" t="s">
        <v>31</v>
      </c>
      <c r="H16" s="29">
        <v>7500</v>
      </c>
    </row>
    <row r="17" spans="1:8" s="10" customFormat="1" x14ac:dyDescent="0.3">
      <c r="A17" s="55">
        <v>46132</v>
      </c>
      <c r="B17" s="10" t="s">
        <v>0</v>
      </c>
      <c r="C17" s="10" t="s">
        <v>263</v>
      </c>
      <c r="D17" s="10">
        <v>1090157</v>
      </c>
      <c r="E17" s="10" t="s">
        <v>1776</v>
      </c>
      <c r="F17" s="10" t="s">
        <v>26</v>
      </c>
      <c r="G17" s="10" t="s">
        <v>31</v>
      </c>
      <c r="H17" s="29">
        <v>7500</v>
      </c>
    </row>
    <row r="18" spans="1:8" s="10" customFormat="1" x14ac:dyDescent="0.3">
      <c r="A18" s="55">
        <v>46132</v>
      </c>
      <c r="B18" s="10" t="s">
        <v>0</v>
      </c>
      <c r="C18" s="10" t="s">
        <v>1616</v>
      </c>
      <c r="D18" s="10">
        <v>1090213</v>
      </c>
      <c r="E18" s="10" t="s">
        <v>1777</v>
      </c>
      <c r="F18" s="10" t="s">
        <v>34</v>
      </c>
      <c r="G18" s="10" t="s">
        <v>1778</v>
      </c>
      <c r="H18" s="29">
        <v>36000</v>
      </c>
    </row>
    <row r="19" spans="1:8" s="73" customFormat="1" x14ac:dyDescent="0.3">
      <c r="A19" s="72">
        <v>46132</v>
      </c>
      <c r="B19" s="73" t="s">
        <v>0</v>
      </c>
      <c r="C19" s="73" t="s">
        <v>90</v>
      </c>
      <c r="D19" s="73">
        <v>1090201</v>
      </c>
      <c r="E19" s="73" t="s">
        <v>1779</v>
      </c>
      <c r="F19" s="73" t="s">
        <v>26</v>
      </c>
      <c r="G19" s="73" t="s">
        <v>353</v>
      </c>
      <c r="H19" s="74">
        <v>15080</v>
      </c>
    </row>
    <row r="20" spans="1:8" s="10" customFormat="1" x14ac:dyDescent="0.3">
      <c r="A20" s="55">
        <v>46132</v>
      </c>
      <c r="B20" s="10" t="s">
        <v>0</v>
      </c>
      <c r="C20" s="10" t="s">
        <v>1780</v>
      </c>
      <c r="D20" s="10">
        <v>1090168</v>
      </c>
      <c r="E20" s="10" t="s">
        <v>1781</v>
      </c>
      <c r="F20" s="10" t="s">
        <v>34</v>
      </c>
      <c r="G20" s="10" t="s">
        <v>39</v>
      </c>
      <c r="H20" s="29">
        <v>18000</v>
      </c>
    </row>
    <row r="21" spans="1:8" s="10" customFormat="1" x14ac:dyDescent="0.3">
      <c r="A21" s="55">
        <v>46132</v>
      </c>
      <c r="B21" s="10" t="s">
        <v>0</v>
      </c>
      <c r="C21" s="10" t="s">
        <v>1782</v>
      </c>
      <c r="D21" s="10">
        <v>1090175</v>
      </c>
      <c r="E21" s="10" t="s">
        <v>1783</v>
      </c>
      <c r="F21" s="10" t="s">
        <v>26</v>
      </c>
      <c r="G21" s="10" t="s">
        <v>39</v>
      </c>
      <c r="H21" s="29">
        <v>20000</v>
      </c>
    </row>
    <row r="22" spans="1:8" s="10" customFormat="1" x14ac:dyDescent="0.3">
      <c r="A22" s="55">
        <v>46132</v>
      </c>
      <c r="B22" s="10" t="s">
        <v>0</v>
      </c>
      <c r="C22" s="10" t="s">
        <v>375</v>
      </c>
      <c r="D22" s="10">
        <v>1090152</v>
      </c>
      <c r="E22" s="10" t="s">
        <v>1784</v>
      </c>
      <c r="F22" s="10" t="s">
        <v>26</v>
      </c>
      <c r="G22" s="10" t="s">
        <v>84</v>
      </c>
      <c r="H22" s="29">
        <v>20000</v>
      </c>
    </row>
    <row r="23" spans="1:8" s="10" customFormat="1" x14ac:dyDescent="0.3">
      <c r="A23" s="55">
        <v>46132</v>
      </c>
      <c r="B23" s="10" t="s">
        <v>0</v>
      </c>
      <c r="C23" s="10" t="s">
        <v>1507</v>
      </c>
      <c r="D23" s="10">
        <v>1090185</v>
      </c>
      <c r="E23" s="10" t="s">
        <v>1785</v>
      </c>
      <c r="F23" s="10" t="s">
        <v>26</v>
      </c>
      <c r="G23" s="10" t="s">
        <v>84</v>
      </c>
      <c r="H23" s="29">
        <v>20000</v>
      </c>
    </row>
    <row r="24" spans="1:8" s="10" customFormat="1" x14ac:dyDescent="0.3">
      <c r="A24" s="55">
        <v>46132</v>
      </c>
      <c r="B24" s="10" t="s">
        <v>0</v>
      </c>
      <c r="C24" s="10" t="s">
        <v>1786</v>
      </c>
      <c r="D24" s="10">
        <v>1090156</v>
      </c>
      <c r="E24" s="10" t="s">
        <v>1787</v>
      </c>
      <c r="F24" s="10" t="s">
        <v>34</v>
      </c>
      <c r="G24" s="10" t="s">
        <v>45</v>
      </c>
      <c r="H24" s="29">
        <v>20000</v>
      </c>
    </row>
    <row r="25" spans="1:8" s="10" customFormat="1" x14ac:dyDescent="0.3">
      <c r="A25" s="55">
        <v>46132</v>
      </c>
      <c r="B25" s="10" t="s">
        <v>0</v>
      </c>
      <c r="C25" s="10" t="s">
        <v>1788</v>
      </c>
      <c r="D25" s="10">
        <v>1090190</v>
      </c>
      <c r="E25" s="10" t="s">
        <v>1789</v>
      </c>
      <c r="F25" s="10" t="s">
        <v>26</v>
      </c>
      <c r="G25" s="10" t="s">
        <v>45</v>
      </c>
      <c r="H25" s="29">
        <v>25000</v>
      </c>
    </row>
    <row r="26" spans="1:8" s="10" customFormat="1" x14ac:dyDescent="0.3">
      <c r="A26" s="55">
        <v>46132</v>
      </c>
      <c r="B26" s="10" t="s">
        <v>0</v>
      </c>
      <c r="C26" s="10" t="s">
        <v>1171</v>
      </c>
      <c r="D26" s="10">
        <v>1090155</v>
      </c>
      <c r="E26" s="10" t="s">
        <v>1790</v>
      </c>
      <c r="F26" s="10" t="s">
        <v>26</v>
      </c>
      <c r="G26" s="10" t="s">
        <v>45</v>
      </c>
      <c r="H26" s="29">
        <v>26000</v>
      </c>
    </row>
    <row r="27" spans="1:8" s="10" customFormat="1" x14ac:dyDescent="0.3">
      <c r="A27" s="55">
        <v>46132</v>
      </c>
      <c r="B27" s="10" t="s">
        <v>0</v>
      </c>
      <c r="C27" s="10" t="s">
        <v>820</v>
      </c>
      <c r="D27" s="10">
        <v>1090212</v>
      </c>
      <c r="E27" s="10" t="s">
        <v>1791</v>
      </c>
      <c r="F27" s="10" t="s">
        <v>482</v>
      </c>
      <c r="G27" s="10" t="s">
        <v>45</v>
      </c>
      <c r="H27" s="29">
        <v>22000</v>
      </c>
    </row>
    <row r="28" spans="1:8" s="10" customFormat="1" x14ac:dyDescent="0.3">
      <c r="A28" s="55">
        <v>46132</v>
      </c>
      <c r="B28" s="10" t="s">
        <v>0</v>
      </c>
      <c r="C28" s="10" t="s">
        <v>1792</v>
      </c>
      <c r="D28" s="10">
        <v>1090183</v>
      </c>
      <c r="E28" s="10" t="s">
        <v>1793</v>
      </c>
      <c r="F28" s="10" t="s">
        <v>57</v>
      </c>
      <c r="G28" s="10" t="s">
        <v>45</v>
      </c>
      <c r="H28" s="29">
        <v>19700</v>
      </c>
    </row>
    <row r="29" spans="1:8" s="73" customFormat="1" x14ac:dyDescent="0.3">
      <c r="A29" s="72">
        <v>46132</v>
      </c>
      <c r="B29" s="73" t="s">
        <v>0</v>
      </c>
      <c r="C29" s="73" t="s">
        <v>1792</v>
      </c>
      <c r="D29" s="73">
        <v>1090184</v>
      </c>
      <c r="E29" s="73" t="s">
        <v>1793</v>
      </c>
      <c r="F29" s="73" t="s">
        <v>26</v>
      </c>
      <c r="G29" s="73" t="s">
        <v>45</v>
      </c>
      <c r="H29" s="73">
        <v>300</v>
      </c>
    </row>
    <row r="30" spans="1:8" s="10" customFormat="1" x14ac:dyDescent="0.3">
      <c r="A30" s="55">
        <v>46132</v>
      </c>
      <c r="B30" s="10" t="s">
        <v>0</v>
      </c>
      <c r="C30" s="10" t="s">
        <v>1794</v>
      </c>
      <c r="D30" s="10">
        <v>1090171</v>
      </c>
      <c r="E30" s="10" t="s">
        <v>1795</v>
      </c>
      <c r="F30" s="10" t="s">
        <v>26</v>
      </c>
      <c r="G30" s="10" t="s">
        <v>957</v>
      </c>
      <c r="H30" s="29">
        <v>54000</v>
      </c>
    </row>
    <row r="31" spans="1:8" s="10" customFormat="1" x14ac:dyDescent="0.3">
      <c r="A31" s="55">
        <v>46132</v>
      </c>
      <c r="B31" s="10" t="s">
        <v>0</v>
      </c>
      <c r="C31" s="10" t="s">
        <v>271</v>
      </c>
      <c r="D31" s="10">
        <v>1090210</v>
      </c>
      <c r="E31" s="10" t="s">
        <v>1796</v>
      </c>
      <c r="F31" s="10" t="s">
        <v>64</v>
      </c>
      <c r="G31" s="10" t="s">
        <v>104</v>
      </c>
      <c r="H31" s="29">
        <v>4000</v>
      </c>
    </row>
    <row r="32" spans="1:8" s="10" customFormat="1" x14ac:dyDescent="0.3">
      <c r="A32" s="55">
        <v>46132</v>
      </c>
      <c r="B32" s="10" t="s">
        <v>0</v>
      </c>
      <c r="C32" s="10" t="s">
        <v>271</v>
      </c>
      <c r="D32" s="10">
        <v>1090160</v>
      </c>
      <c r="E32" s="10" t="s">
        <v>1797</v>
      </c>
      <c r="F32" s="10" t="s">
        <v>198</v>
      </c>
      <c r="G32" s="10" t="s">
        <v>104</v>
      </c>
      <c r="H32" s="29">
        <v>4000</v>
      </c>
    </row>
    <row r="33" spans="1:8" s="10" customFormat="1" x14ac:dyDescent="0.3">
      <c r="A33" s="55">
        <v>46132</v>
      </c>
      <c r="B33" s="10" t="s">
        <v>0</v>
      </c>
      <c r="C33" s="10" t="s">
        <v>1422</v>
      </c>
      <c r="D33" s="10">
        <v>1090228</v>
      </c>
      <c r="E33" s="10" t="s">
        <v>1798</v>
      </c>
      <c r="F33" s="10" t="s">
        <v>305</v>
      </c>
      <c r="G33" s="10" t="s">
        <v>104</v>
      </c>
      <c r="H33" s="29">
        <v>4000</v>
      </c>
    </row>
    <row r="34" spans="1:8" s="10" customFormat="1" x14ac:dyDescent="0.3">
      <c r="A34" s="55">
        <v>46132</v>
      </c>
      <c r="B34" s="10" t="s">
        <v>0</v>
      </c>
      <c r="C34" s="10" t="s">
        <v>271</v>
      </c>
      <c r="D34" s="10">
        <v>1090180</v>
      </c>
      <c r="E34" s="10" t="s">
        <v>1799</v>
      </c>
      <c r="F34" s="10" t="s">
        <v>26</v>
      </c>
      <c r="G34" s="10" t="s">
        <v>104</v>
      </c>
      <c r="H34" s="29">
        <v>3000</v>
      </c>
    </row>
    <row r="35" spans="1:8" s="10" customFormat="1" x14ac:dyDescent="0.3">
      <c r="A35" s="55">
        <v>46132</v>
      </c>
      <c r="B35" s="10" t="s">
        <v>0</v>
      </c>
      <c r="C35" s="10" t="s">
        <v>108</v>
      </c>
      <c r="D35" s="10">
        <v>1090164</v>
      </c>
      <c r="E35" s="10" t="s">
        <v>1800</v>
      </c>
      <c r="F35" s="10" t="s">
        <v>26</v>
      </c>
      <c r="G35" s="10" t="s">
        <v>110</v>
      </c>
      <c r="H35" s="29">
        <v>6000</v>
      </c>
    </row>
    <row r="36" spans="1:8" s="10" customFormat="1" x14ac:dyDescent="0.3">
      <c r="A36" s="55">
        <v>46132</v>
      </c>
      <c r="B36" s="10" t="s">
        <v>0</v>
      </c>
      <c r="C36" s="10" t="s">
        <v>1774</v>
      </c>
      <c r="D36" s="10">
        <v>1090179</v>
      </c>
      <c r="E36" s="10" t="s">
        <v>1775</v>
      </c>
      <c r="F36" s="10" t="s">
        <v>26</v>
      </c>
      <c r="G36" s="10" t="s">
        <v>116</v>
      </c>
      <c r="H36" s="29">
        <v>5000</v>
      </c>
    </row>
    <row r="37" spans="1:8" s="10" customFormat="1" x14ac:dyDescent="0.3">
      <c r="A37" s="55">
        <v>46132</v>
      </c>
      <c r="B37" s="10" t="s">
        <v>0</v>
      </c>
      <c r="C37" s="10" t="s">
        <v>75</v>
      </c>
      <c r="D37" s="10">
        <v>1090189</v>
      </c>
      <c r="E37" s="10" t="s">
        <v>1801</v>
      </c>
      <c r="F37" s="10" t="s">
        <v>26</v>
      </c>
      <c r="G37" s="10" t="s">
        <v>116</v>
      </c>
      <c r="H37" s="29">
        <v>5000</v>
      </c>
    </row>
    <row r="38" spans="1:8" s="10" customFormat="1" x14ac:dyDescent="0.3">
      <c r="A38" s="55">
        <v>46132</v>
      </c>
      <c r="B38" s="10" t="s">
        <v>0</v>
      </c>
      <c r="C38" s="10" t="s">
        <v>127</v>
      </c>
      <c r="D38" s="10">
        <v>1090216</v>
      </c>
      <c r="E38" s="10" t="s">
        <v>1802</v>
      </c>
      <c r="F38" s="10" t="s">
        <v>201</v>
      </c>
      <c r="G38" s="10" t="s">
        <v>124</v>
      </c>
      <c r="H38" s="29">
        <v>4000</v>
      </c>
    </row>
    <row r="39" spans="1:8" s="10" customFormat="1" x14ac:dyDescent="0.3">
      <c r="A39" s="55">
        <v>46132</v>
      </c>
      <c r="B39" s="10" t="s">
        <v>0</v>
      </c>
      <c r="C39" s="10" t="s">
        <v>1803</v>
      </c>
      <c r="D39" s="10">
        <v>1090193</v>
      </c>
      <c r="E39" s="10" t="s">
        <v>1804</v>
      </c>
      <c r="F39" s="10" t="s">
        <v>34</v>
      </c>
      <c r="G39" s="10" t="s">
        <v>129</v>
      </c>
      <c r="H39" s="29">
        <v>4000</v>
      </c>
    </row>
    <row r="40" spans="1:8" s="10" customFormat="1" x14ac:dyDescent="0.3">
      <c r="A40" s="55">
        <v>46132</v>
      </c>
      <c r="B40" s="10" t="s">
        <v>0</v>
      </c>
      <c r="C40" s="10" t="s">
        <v>694</v>
      </c>
      <c r="D40" s="10">
        <v>1090167</v>
      </c>
      <c r="E40" s="10" t="s">
        <v>1805</v>
      </c>
      <c r="F40" s="10" t="s">
        <v>201</v>
      </c>
      <c r="G40" s="10" t="s">
        <v>129</v>
      </c>
      <c r="H40" s="29">
        <v>4000</v>
      </c>
    </row>
    <row r="41" spans="1:8" s="10" customFormat="1" x14ac:dyDescent="0.3">
      <c r="A41" s="55">
        <v>46132</v>
      </c>
      <c r="B41" s="10" t="s">
        <v>0</v>
      </c>
      <c r="C41" s="10" t="s">
        <v>127</v>
      </c>
      <c r="D41" s="10">
        <v>1090151</v>
      </c>
      <c r="E41" s="10" t="s">
        <v>1806</v>
      </c>
      <c r="F41" s="10" t="s">
        <v>34</v>
      </c>
      <c r="G41" s="10" t="s">
        <v>134</v>
      </c>
      <c r="H41" s="29">
        <v>4000</v>
      </c>
    </row>
    <row r="42" spans="1:8" s="10" customFormat="1" x14ac:dyDescent="0.3">
      <c r="A42" s="55">
        <v>46132</v>
      </c>
      <c r="B42" s="10" t="s">
        <v>0</v>
      </c>
      <c r="C42" s="10" t="s">
        <v>127</v>
      </c>
      <c r="D42" s="10">
        <v>1090176</v>
      </c>
      <c r="E42" s="10" t="s">
        <v>1807</v>
      </c>
      <c r="F42" s="10" t="s">
        <v>26</v>
      </c>
      <c r="G42" s="10" t="s">
        <v>134</v>
      </c>
      <c r="H42" s="29">
        <v>4000</v>
      </c>
    </row>
    <row r="43" spans="1:8" s="10" customFormat="1" x14ac:dyDescent="0.3">
      <c r="A43" s="55">
        <v>46132</v>
      </c>
      <c r="B43" s="10" t="s">
        <v>0</v>
      </c>
      <c r="C43" s="10" t="s">
        <v>127</v>
      </c>
      <c r="D43" s="10">
        <v>1090230</v>
      </c>
      <c r="E43" s="10" t="s">
        <v>1808</v>
      </c>
      <c r="F43" s="10" t="s">
        <v>160</v>
      </c>
      <c r="G43" s="10" t="s">
        <v>134</v>
      </c>
      <c r="H43" s="29">
        <v>4000</v>
      </c>
    </row>
    <row r="44" spans="1:8" s="10" customFormat="1" x14ac:dyDescent="0.3">
      <c r="A44" s="55">
        <v>46132</v>
      </c>
      <c r="B44" s="10" t="s">
        <v>0</v>
      </c>
      <c r="C44" s="10" t="s">
        <v>1134</v>
      </c>
      <c r="D44" s="10">
        <v>1090174</v>
      </c>
      <c r="E44" s="10" t="s">
        <v>1809</v>
      </c>
      <c r="F44" s="10" t="s">
        <v>26</v>
      </c>
      <c r="G44" s="10" t="s">
        <v>207</v>
      </c>
      <c r="H44" s="29">
        <v>3000</v>
      </c>
    </row>
    <row r="45" spans="1:8" s="10" customFormat="1" x14ac:dyDescent="0.3">
      <c r="A45" s="55">
        <v>46132</v>
      </c>
      <c r="B45" s="10" t="s">
        <v>0</v>
      </c>
      <c r="C45" s="10" t="s">
        <v>135</v>
      </c>
      <c r="D45" s="10">
        <v>1090223</v>
      </c>
      <c r="E45" s="10" t="s">
        <v>1810</v>
      </c>
      <c r="F45" s="10" t="s">
        <v>26</v>
      </c>
      <c r="G45" s="10" t="s">
        <v>141</v>
      </c>
      <c r="H45" s="29">
        <v>5000</v>
      </c>
    </row>
    <row r="46" spans="1:8" s="10" customFormat="1" x14ac:dyDescent="0.3">
      <c r="A46" s="55">
        <v>46132</v>
      </c>
      <c r="B46" s="10" t="s">
        <v>0</v>
      </c>
      <c r="C46" s="10" t="s">
        <v>135</v>
      </c>
      <c r="D46" s="10">
        <v>1090206</v>
      </c>
      <c r="E46" s="10" t="s">
        <v>1811</v>
      </c>
      <c r="F46" s="10" t="s">
        <v>26</v>
      </c>
      <c r="G46" s="10" t="s">
        <v>327</v>
      </c>
      <c r="H46" s="29">
        <v>5000</v>
      </c>
    </row>
    <row r="47" spans="1:8" s="10" customFormat="1" x14ac:dyDescent="0.3">
      <c r="A47" s="55">
        <v>46132</v>
      </c>
      <c r="B47" s="10" t="s">
        <v>0</v>
      </c>
      <c r="C47" s="10" t="s">
        <v>135</v>
      </c>
      <c r="D47" s="10">
        <v>1090206</v>
      </c>
      <c r="E47" s="10" t="s">
        <v>1811</v>
      </c>
      <c r="F47" s="10" t="s">
        <v>26</v>
      </c>
      <c r="G47" s="10" t="s">
        <v>555</v>
      </c>
      <c r="H47" s="29">
        <v>2500</v>
      </c>
    </row>
    <row r="48" spans="1:8" s="10" customFormat="1" x14ac:dyDescent="0.3">
      <c r="A48" s="55">
        <v>46132</v>
      </c>
      <c r="B48" s="10" t="s">
        <v>0</v>
      </c>
      <c r="C48" s="10" t="s">
        <v>1780</v>
      </c>
      <c r="D48" s="10">
        <v>1090168</v>
      </c>
      <c r="E48" s="10" t="s">
        <v>1781</v>
      </c>
      <c r="F48" s="10" t="s">
        <v>34</v>
      </c>
      <c r="G48" s="10" t="s">
        <v>226</v>
      </c>
      <c r="H48" s="29">
        <v>1800</v>
      </c>
    </row>
    <row r="49" spans="1:8" s="10" customFormat="1" x14ac:dyDescent="0.3">
      <c r="A49" s="55">
        <v>46132</v>
      </c>
      <c r="B49" s="10" t="s">
        <v>0</v>
      </c>
      <c r="C49" s="10" t="s">
        <v>802</v>
      </c>
      <c r="D49" s="10">
        <v>1090208</v>
      </c>
      <c r="E49" s="10" t="s">
        <v>1812</v>
      </c>
      <c r="F49" s="10" t="s">
        <v>26</v>
      </c>
      <c r="G49" s="10" t="s">
        <v>231</v>
      </c>
      <c r="H49" s="29">
        <v>2500</v>
      </c>
    </row>
    <row r="50" spans="1:8" s="10" customFormat="1" x14ac:dyDescent="0.3">
      <c r="A50" s="55">
        <v>46132</v>
      </c>
      <c r="B50" s="10" t="s">
        <v>0</v>
      </c>
      <c r="C50" s="10" t="s">
        <v>114</v>
      </c>
      <c r="D50" s="10">
        <v>1090200</v>
      </c>
      <c r="E50" s="10" t="s">
        <v>1813</v>
      </c>
      <c r="F50" s="10" t="s">
        <v>26</v>
      </c>
      <c r="G50" s="10" t="s">
        <v>231</v>
      </c>
      <c r="H50" s="29">
        <v>2500</v>
      </c>
    </row>
    <row r="51" spans="1:8" s="10" customFormat="1" x14ac:dyDescent="0.3">
      <c r="A51" s="55">
        <v>46132</v>
      </c>
      <c r="B51" s="10" t="s">
        <v>0</v>
      </c>
      <c r="C51" s="10" t="s">
        <v>69</v>
      </c>
      <c r="D51" s="10">
        <v>1090195</v>
      </c>
      <c r="E51" s="10" t="s">
        <v>1814</v>
      </c>
      <c r="F51" s="10" t="s">
        <v>26</v>
      </c>
      <c r="G51" s="10" t="s">
        <v>231</v>
      </c>
      <c r="H51" s="29">
        <v>2500</v>
      </c>
    </row>
    <row r="52" spans="1:8" s="10" customFormat="1" x14ac:dyDescent="0.3">
      <c r="A52" s="55">
        <v>46132</v>
      </c>
      <c r="B52" s="10" t="s">
        <v>0</v>
      </c>
      <c r="C52" s="10" t="s">
        <v>114</v>
      </c>
      <c r="D52" s="10">
        <v>1090205</v>
      </c>
      <c r="E52" s="10" t="s">
        <v>1815</v>
      </c>
      <c r="F52" s="10" t="s">
        <v>26</v>
      </c>
      <c r="G52" s="10" t="s">
        <v>231</v>
      </c>
      <c r="H52" s="29">
        <v>2500</v>
      </c>
    </row>
    <row r="53" spans="1:8" s="10" customFormat="1" x14ac:dyDescent="0.3">
      <c r="A53" s="55">
        <v>46132</v>
      </c>
      <c r="B53" s="10" t="s">
        <v>0</v>
      </c>
      <c r="C53" s="10" t="s">
        <v>135</v>
      </c>
      <c r="D53" s="10">
        <v>1090206</v>
      </c>
      <c r="E53" s="10" t="s">
        <v>1811</v>
      </c>
      <c r="F53" s="10" t="s">
        <v>26</v>
      </c>
      <c r="G53" s="10" t="s">
        <v>231</v>
      </c>
      <c r="H53" s="29">
        <v>2500</v>
      </c>
    </row>
    <row r="54" spans="1:8" s="10" customFormat="1" x14ac:dyDescent="0.3">
      <c r="A54" s="55">
        <v>46132</v>
      </c>
      <c r="B54" s="10" t="s">
        <v>0</v>
      </c>
      <c r="C54" s="10" t="s">
        <v>117</v>
      </c>
      <c r="D54" s="10">
        <v>1090215</v>
      </c>
      <c r="E54" s="10" t="s">
        <v>1816</v>
      </c>
      <c r="F54" s="10" t="s">
        <v>26</v>
      </c>
      <c r="G54" s="10" t="s">
        <v>237</v>
      </c>
      <c r="H54" s="29">
        <v>2500</v>
      </c>
    </row>
    <row r="55" spans="1:8" s="23" customFormat="1" x14ac:dyDescent="0.3">
      <c r="A55" s="55">
        <v>46132</v>
      </c>
      <c r="B55" s="23" t="s">
        <v>9</v>
      </c>
      <c r="C55" s="23" t="s">
        <v>1301</v>
      </c>
      <c r="D55" s="23">
        <v>1090159</v>
      </c>
      <c r="E55" s="23" t="s">
        <v>1817</v>
      </c>
      <c r="F55" s="23" t="s">
        <v>305</v>
      </c>
      <c r="G55" s="23" t="s">
        <v>48</v>
      </c>
      <c r="H55" s="30">
        <v>2500</v>
      </c>
    </row>
    <row r="56" spans="1:8" s="23" customFormat="1" x14ac:dyDescent="0.3">
      <c r="A56" s="55">
        <v>46132</v>
      </c>
      <c r="B56" s="23" t="s">
        <v>9</v>
      </c>
      <c r="C56" s="23" t="s">
        <v>1301</v>
      </c>
      <c r="D56" s="23">
        <v>1090196</v>
      </c>
      <c r="E56" s="23" t="s">
        <v>1818</v>
      </c>
      <c r="F56" s="23" t="s">
        <v>26</v>
      </c>
      <c r="G56" s="23" t="s">
        <v>48</v>
      </c>
      <c r="H56" s="30">
        <v>2500</v>
      </c>
    </row>
    <row r="57" spans="1:8" s="23" customFormat="1" x14ac:dyDescent="0.3">
      <c r="A57" s="55">
        <v>46132</v>
      </c>
      <c r="B57" s="23" t="s">
        <v>9</v>
      </c>
      <c r="C57" s="23" t="s">
        <v>1819</v>
      </c>
      <c r="D57" s="23">
        <v>1090207</v>
      </c>
      <c r="E57" s="23" t="s">
        <v>1820</v>
      </c>
      <c r="F57" s="23" t="s">
        <v>26</v>
      </c>
      <c r="G57" s="23" t="s">
        <v>360</v>
      </c>
      <c r="H57" s="30">
        <v>29000</v>
      </c>
    </row>
    <row r="58" spans="1:8" s="23" customFormat="1" x14ac:dyDescent="0.3">
      <c r="A58" s="55">
        <v>46132</v>
      </c>
      <c r="B58" s="23" t="s">
        <v>9</v>
      </c>
      <c r="C58" s="23" t="s">
        <v>1821</v>
      </c>
      <c r="D58" s="23">
        <v>1090229</v>
      </c>
      <c r="E58" s="23" t="s">
        <v>1822</v>
      </c>
      <c r="F58" s="23" t="s">
        <v>160</v>
      </c>
      <c r="G58" s="23" t="s">
        <v>65</v>
      </c>
      <c r="H58" s="30">
        <v>8000</v>
      </c>
    </row>
    <row r="59" spans="1:8" s="23" customFormat="1" x14ac:dyDescent="0.3">
      <c r="A59" s="55">
        <v>46132</v>
      </c>
      <c r="B59" s="23" t="s">
        <v>9</v>
      </c>
      <c r="C59" s="23" t="s">
        <v>1212</v>
      </c>
      <c r="D59" s="23">
        <v>1090188</v>
      </c>
      <c r="E59" s="23" t="s">
        <v>1823</v>
      </c>
      <c r="F59" s="23" t="s">
        <v>26</v>
      </c>
      <c r="G59" s="23" t="s">
        <v>270</v>
      </c>
      <c r="H59" s="30">
        <v>40000</v>
      </c>
    </row>
    <row r="60" spans="1:8" s="23" customFormat="1" x14ac:dyDescent="0.3">
      <c r="A60" s="55">
        <v>46132</v>
      </c>
      <c r="B60" s="23" t="s">
        <v>9</v>
      </c>
      <c r="C60" s="23" t="s">
        <v>1819</v>
      </c>
      <c r="D60" s="23">
        <v>1090207</v>
      </c>
      <c r="E60" s="23" t="s">
        <v>1820</v>
      </c>
      <c r="F60" s="23" t="s">
        <v>26</v>
      </c>
      <c r="G60" s="23" t="s">
        <v>84</v>
      </c>
      <c r="H60" s="30">
        <v>20000</v>
      </c>
    </row>
    <row r="61" spans="1:8" s="23" customFormat="1" x14ac:dyDescent="0.3">
      <c r="A61" s="55">
        <v>46132</v>
      </c>
      <c r="B61" s="23" t="s">
        <v>9</v>
      </c>
      <c r="C61" s="23" t="s">
        <v>1427</v>
      </c>
      <c r="D61" s="23">
        <v>1090204</v>
      </c>
      <c r="E61" s="23" t="s">
        <v>1824</v>
      </c>
      <c r="F61" s="23" t="s">
        <v>26</v>
      </c>
      <c r="G61" s="23" t="s">
        <v>95</v>
      </c>
      <c r="H61" s="30">
        <v>26000</v>
      </c>
    </row>
    <row r="62" spans="1:8" s="23" customFormat="1" x14ac:dyDescent="0.3">
      <c r="A62" s="55">
        <v>46132</v>
      </c>
      <c r="B62" s="23" t="s">
        <v>9</v>
      </c>
      <c r="C62" s="23" t="s">
        <v>1825</v>
      </c>
      <c r="D62" s="23">
        <v>1090165</v>
      </c>
      <c r="E62" s="23" t="s">
        <v>1826</v>
      </c>
      <c r="F62" s="23" t="s">
        <v>198</v>
      </c>
      <c r="G62" s="23" t="s">
        <v>195</v>
      </c>
      <c r="H62" s="30">
        <v>26000</v>
      </c>
    </row>
    <row r="63" spans="1:8" s="23" customFormat="1" x14ac:dyDescent="0.3">
      <c r="A63" s="55">
        <v>46132</v>
      </c>
      <c r="B63" s="23" t="s">
        <v>9</v>
      </c>
      <c r="C63" s="23" t="s">
        <v>1301</v>
      </c>
      <c r="D63" s="23">
        <v>1090159</v>
      </c>
      <c r="E63" s="23" t="s">
        <v>1817</v>
      </c>
      <c r="F63" s="23" t="s">
        <v>305</v>
      </c>
      <c r="G63" s="23" t="s">
        <v>110</v>
      </c>
      <c r="H63" s="30">
        <v>6000</v>
      </c>
    </row>
    <row r="64" spans="1:8" s="23" customFormat="1" x14ac:dyDescent="0.3">
      <c r="A64" s="55">
        <v>46132</v>
      </c>
      <c r="B64" s="23" t="s">
        <v>9</v>
      </c>
      <c r="C64" s="23" t="s">
        <v>1301</v>
      </c>
      <c r="D64" s="23">
        <v>1090196</v>
      </c>
      <c r="E64" s="23" t="s">
        <v>1818</v>
      </c>
      <c r="F64" s="23" t="s">
        <v>26</v>
      </c>
      <c r="G64" s="23" t="s">
        <v>110</v>
      </c>
      <c r="H64" s="30">
        <v>6000</v>
      </c>
    </row>
    <row r="65" spans="1:8" s="23" customFormat="1" x14ac:dyDescent="0.3">
      <c r="A65" s="55">
        <v>46132</v>
      </c>
      <c r="B65" s="23" t="s">
        <v>9</v>
      </c>
      <c r="C65" s="23" t="s">
        <v>1827</v>
      </c>
      <c r="D65" s="23">
        <v>1090192</v>
      </c>
      <c r="E65" s="23" t="s">
        <v>1828</v>
      </c>
      <c r="F65" s="23" t="s">
        <v>26</v>
      </c>
      <c r="G65" s="23" t="s">
        <v>1829</v>
      </c>
      <c r="H65" s="30">
        <v>5000</v>
      </c>
    </row>
    <row r="66" spans="1:8" s="23" customFormat="1" x14ac:dyDescent="0.3">
      <c r="A66" s="55">
        <v>46132</v>
      </c>
      <c r="B66" s="23" t="s">
        <v>9</v>
      </c>
      <c r="C66" s="23" t="s">
        <v>1830</v>
      </c>
      <c r="D66" s="23">
        <v>1090203</v>
      </c>
      <c r="E66" s="23" t="s">
        <v>1831</v>
      </c>
      <c r="F66" s="23" t="s">
        <v>26</v>
      </c>
      <c r="G66" s="23" t="s">
        <v>116</v>
      </c>
      <c r="H66" s="30">
        <v>5000</v>
      </c>
    </row>
    <row r="67" spans="1:8" s="23" customFormat="1" x14ac:dyDescent="0.3">
      <c r="A67" s="55">
        <v>46132</v>
      </c>
      <c r="B67" s="23" t="s">
        <v>9</v>
      </c>
      <c r="C67" s="23" t="s">
        <v>174</v>
      </c>
      <c r="D67" s="23">
        <v>1090211</v>
      </c>
      <c r="E67" s="23" t="s">
        <v>1832</v>
      </c>
      <c r="F67" s="23" t="s">
        <v>26</v>
      </c>
      <c r="G67" s="23" t="s">
        <v>116</v>
      </c>
      <c r="H67" s="30">
        <v>5000</v>
      </c>
    </row>
    <row r="68" spans="1:8" s="23" customFormat="1" x14ac:dyDescent="0.3">
      <c r="A68" s="55">
        <v>46132</v>
      </c>
      <c r="B68" s="23" t="s">
        <v>9</v>
      </c>
      <c r="C68" s="23" t="s">
        <v>174</v>
      </c>
      <c r="D68" s="23">
        <v>1090191</v>
      </c>
      <c r="E68" s="23" t="s">
        <v>1833</v>
      </c>
      <c r="F68" s="23" t="s">
        <v>26</v>
      </c>
      <c r="G68" s="23" t="s">
        <v>116</v>
      </c>
      <c r="H68" s="30">
        <v>5000</v>
      </c>
    </row>
    <row r="69" spans="1:8" s="23" customFormat="1" x14ac:dyDescent="0.3">
      <c r="A69" s="55">
        <v>46132</v>
      </c>
      <c r="B69" s="23" t="s">
        <v>9</v>
      </c>
      <c r="C69" s="23" t="s">
        <v>158</v>
      </c>
      <c r="D69" s="23">
        <v>1090186</v>
      </c>
      <c r="E69" s="23" t="s">
        <v>1834</v>
      </c>
      <c r="F69" s="23" t="s">
        <v>160</v>
      </c>
      <c r="G69" s="23" t="s">
        <v>142</v>
      </c>
      <c r="H69" s="30">
        <v>2500</v>
      </c>
    </row>
    <row r="70" spans="1:8" s="23" customFormat="1" x14ac:dyDescent="0.3">
      <c r="A70" s="55">
        <v>46132</v>
      </c>
      <c r="B70" s="23" t="s">
        <v>9</v>
      </c>
      <c r="C70" s="23" t="s">
        <v>1301</v>
      </c>
      <c r="D70" s="23">
        <v>1090196</v>
      </c>
      <c r="E70" s="23" t="s">
        <v>1818</v>
      </c>
      <c r="F70" s="23" t="s">
        <v>26</v>
      </c>
      <c r="G70" s="23" t="s">
        <v>237</v>
      </c>
      <c r="H70" s="30">
        <v>2500</v>
      </c>
    </row>
    <row r="71" spans="1:8" x14ac:dyDescent="0.3">
      <c r="A71" s="55">
        <v>46132</v>
      </c>
      <c r="B71" t="s">
        <v>185</v>
      </c>
      <c r="C71" t="s">
        <v>344</v>
      </c>
      <c r="D71">
        <v>1090162</v>
      </c>
      <c r="E71" t="s">
        <v>1835</v>
      </c>
      <c r="F71" t="s">
        <v>26</v>
      </c>
      <c r="G71" t="s">
        <v>71</v>
      </c>
      <c r="H71" s="31">
        <v>6500</v>
      </c>
    </row>
    <row r="72" spans="1:8" x14ac:dyDescent="0.3">
      <c r="A72" s="55">
        <v>46132</v>
      </c>
      <c r="B72" t="s">
        <v>185</v>
      </c>
      <c r="C72" t="s">
        <v>205</v>
      </c>
      <c r="D72">
        <v>1090182</v>
      </c>
      <c r="E72" t="s">
        <v>1836</v>
      </c>
      <c r="F72" t="s">
        <v>26</v>
      </c>
      <c r="G72" t="s">
        <v>71</v>
      </c>
      <c r="H72" s="31">
        <v>6500</v>
      </c>
    </row>
    <row r="73" spans="1:8" x14ac:dyDescent="0.3">
      <c r="A73" s="55">
        <v>46132</v>
      </c>
      <c r="B73" t="s">
        <v>185</v>
      </c>
      <c r="C73" t="s">
        <v>1232</v>
      </c>
      <c r="D73">
        <v>1090169</v>
      </c>
      <c r="E73" t="s">
        <v>1837</v>
      </c>
      <c r="F73" t="s">
        <v>26</v>
      </c>
      <c r="G73" t="s">
        <v>394</v>
      </c>
      <c r="H73" s="31">
        <v>40000</v>
      </c>
    </row>
    <row r="74" spans="1:8" x14ac:dyDescent="0.3">
      <c r="A74" s="55">
        <v>46132</v>
      </c>
      <c r="B74" t="s">
        <v>185</v>
      </c>
      <c r="C74" t="s">
        <v>1838</v>
      </c>
      <c r="D74">
        <v>1090154</v>
      </c>
      <c r="E74" t="s">
        <v>1839</v>
      </c>
      <c r="F74" t="s">
        <v>26</v>
      </c>
      <c r="G74" t="s">
        <v>394</v>
      </c>
      <c r="H74" s="31">
        <v>40000</v>
      </c>
    </row>
    <row r="75" spans="1:8" x14ac:dyDescent="0.3">
      <c r="A75" s="55">
        <v>46132</v>
      </c>
      <c r="B75" t="s">
        <v>185</v>
      </c>
      <c r="C75" t="s">
        <v>186</v>
      </c>
      <c r="D75">
        <v>1090224</v>
      </c>
      <c r="E75" t="s">
        <v>1840</v>
      </c>
      <c r="F75" t="s">
        <v>201</v>
      </c>
      <c r="G75" t="s">
        <v>39</v>
      </c>
      <c r="H75" s="31">
        <v>21000</v>
      </c>
    </row>
    <row r="76" spans="1:8" x14ac:dyDescent="0.3">
      <c r="A76" s="55">
        <v>46132</v>
      </c>
      <c r="B76" t="s">
        <v>185</v>
      </c>
      <c r="C76" t="s">
        <v>1580</v>
      </c>
      <c r="D76">
        <v>1090217</v>
      </c>
      <c r="E76" t="s">
        <v>1841</v>
      </c>
      <c r="F76" t="s">
        <v>26</v>
      </c>
      <c r="G76" t="s">
        <v>84</v>
      </c>
      <c r="H76" s="31">
        <v>20000</v>
      </c>
    </row>
    <row r="77" spans="1:8" x14ac:dyDescent="0.3">
      <c r="A77" s="55">
        <v>46132</v>
      </c>
      <c r="B77" t="s">
        <v>185</v>
      </c>
      <c r="C77" t="s">
        <v>1842</v>
      </c>
      <c r="D77">
        <v>1090197</v>
      </c>
      <c r="E77" t="s">
        <v>1843</v>
      </c>
      <c r="F77" t="s">
        <v>26</v>
      </c>
      <c r="G77" t="s">
        <v>84</v>
      </c>
      <c r="H77" s="31">
        <v>20000</v>
      </c>
    </row>
    <row r="78" spans="1:8" x14ac:dyDescent="0.3">
      <c r="A78" s="55">
        <v>46132</v>
      </c>
      <c r="B78" t="s">
        <v>185</v>
      </c>
      <c r="C78" t="s">
        <v>1844</v>
      </c>
      <c r="D78">
        <v>1090153</v>
      </c>
      <c r="E78" t="s">
        <v>1845</v>
      </c>
      <c r="F78" t="s">
        <v>26</v>
      </c>
      <c r="G78" t="s">
        <v>98</v>
      </c>
      <c r="H78" s="31">
        <v>26000</v>
      </c>
    </row>
    <row r="79" spans="1:8" x14ac:dyDescent="0.3">
      <c r="A79" s="55">
        <v>46132</v>
      </c>
      <c r="B79" t="s">
        <v>185</v>
      </c>
      <c r="C79" t="s">
        <v>1846</v>
      </c>
      <c r="D79">
        <v>1090214</v>
      </c>
      <c r="E79" t="s">
        <v>1847</v>
      </c>
      <c r="F79" t="s">
        <v>79</v>
      </c>
      <c r="G79" t="s">
        <v>195</v>
      </c>
      <c r="H79" s="31">
        <v>24000</v>
      </c>
    </row>
    <row r="80" spans="1:8" x14ac:dyDescent="0.3">
      <c r="A80" s="55">
        <v>46132</v>
      </c>
      <c r="B80" t="s">
        <v>185</v>
      </c>
      <c r="C80" t="s">
        <v>205</v>
      </c>
      <c r="D80">
        <v>1090177</v>
      </c>
      <c r="E80" t="s">
        <v>1848</v>
      </c>
      <c r="F80" t="s">
        <v>26</v>
      </c>
      <c r="G80" t="s">
        <v>124</v>
      </c>
      <c r="H80" s="31">
        <v>3000</v>
      </c>
    </row>
    <row r="81" spans="1:8" x14ac:dyDescent="0.3">
      <c r="A81" s="55">
        <v>46132</v>
      </c>
      <c r="B81" t="s">
        <v>185</v>
      </c>
      <c r="C81" t="s">
        <v>330</v>
      </c>
      <c r="D81">
        <v>1090173</v>
      </c>
      <c r="E81" t="s">
        <v>1849</v>
      </c>
      <c r="F81" t="s">
        <v>26</v>
      </c>
      <c r="G81" t="s">
        <v>124</v>
      </c>
      <c r="H81" s="31">
        <v>3000</v>
      </c>
    </row>
    <row r="82" spans="1:8" x14ac:dyDescent="0.3">
      <c r="A82" s="55">
        <v>46132</v>
      </c>
      <c r="B82" t="s">
        <v>185</v>
      </c>
      <c r="C82" t="s">
        <v>205</v>
      </c>
      <c r="D82">
        <v>1090187</v>
      </c>
      <c r="E82" t="s">
        <v>1850</v>
      </c>
      <c r="F82" t="s">
        <v>26</v>
      </c>
      <c r="G82" t="s">
        <v>124</v>
      </c>
      <c r="H82" s="31">
        <v>3000</v>
      </c>
    </row>
    <row r="83" spans="1:8" x14ac:dyDescent="0.3">
      <c r="A83" s="55">
        <v>46132</v>
      </c>
      <c r="B83" t="s">
        <v>185</v>
      </c>
      <c r="C83" t="s">
        <v>125</v>
      </c>
      <c r="D83">
        <v>1090227</v>
      </c>
      <c r="E83" t="s">
        <v>1851</v>
      </c>
      <c r="F83" t="s">
        <v>482</v>
      </c>
      <c r="G83" t="s">
        <v>124</v>
      </c>
      <c r="H83" s="31">
        <v>4000</v>
      </c>
    </row>
    <row r="84" spans="1:8" x14ac:dyDescent="0.3">
      <c r="A84" s="55">
        <v>46132</v>
      </c>
      <c r="B84" t="s">
        <v>185</v>
      </c>
      <c r="C84" t="s">
        <v>196</v>
      </c>
      <c r="D84">
        <v>1090221</v>
      </c>
      <c r="E84" t="s">
        <v>1230</v>
      </c>
      <c r="F84" t="s">
        <v>26</v>
      </c>
      <c r="G84" t="s">
        <v>550</v>
      </c>
      <c r="H84" s="31">
        <v>3000</v>
      </c>
    </row>
    <row r="85" spans="1:8" x14ac:dyDescent="0.3">
      <c r="A85" s="55">
        <v>46132</v>
      </c>
      <c r="B85" t="s">
        <v>185</v>
      </c>
      <c r="C85" t="s">
        <v>205</v>
      </c>
      <c r="D85">
        <v>1090209</v>
      </c>
      <c r="E85" t="s">
        <v>1852</v>
      </c>
      <c r="F85" t="s">
        <v>26</v>
      </c>
      <c r="G85" t="s">
        <v>207</v>
      </c>
      <c r="H85" s="31">
        <v>3000</v>
      </c>
    </row>
    <row r="86" spans="1:8" x14ac:dyDescent="0.3">
      <c r="A86" s="55">
        <v>46132</v>
      </c>
      <c r="B86" t="s">
        <v>185</v>
      </c>
      <c r="C86" t="s">
        <v>1232</v>
      </c>
      <c r="D86">
        <v>1090172</v>
      </c>
      <c r="E86" t="s">
        <v>1853</v>
      </c>
      <c r="F86" t="s">
        <v>198</v>
      </c>
      <c r="G86" t="s">
        <v>211</v>
      </c>
      <c r="H86" s="31">
        <v>2200</v>
      </c>
    </row>
    <row r="87" spans="1:8" x14ac:dyDescent="0.3">
      <c r="A87" s="55">
        <v>46132</v>
      </c>
      <c r="B87" t="s">
        <v>185</v>
      </c>
      <c r="C87" t="s">
        <v>1232</v>
      </c>
      <c r="D87">
        <v>1090169</v>
      </c>
      <c r="E87" t="s">
        <v>1837</v>
      </c>
      <c r="F87" t="s">
        <v>26</v>
      </c>
      <c r="G87" t="s">
        <v>766</v>
      </c>
      <c r="H87" s="31">
        <v>2200</v>
      </c>
    </row>
    <row r="88" spans="1:8" x14ac:dyDescent="0.3">
      <c r="A88" s="55">
        <v>46132</v>
      </c>
      <c r="B88" t="s">
        <v>185</v>
      </c>
      <c r="C88" t="s">
        <v>186</v>
      </c>
      <c r="D88">
        <v>1090222</v>
      </c>
      <c r="E88" t="s">
        <v>1854</v>
      </c>
      <c r="F88" t="s">
        <v>26</v>
      </c>
      <c r="G88" t="s">
        <v>141</v>
      </c>
      <c r="H88" s="31">
        <v>5000</v>
      </c>
    </row>
    <row r="89" spans="1:8" x14ac:dyDescent="0.3">
      <c r="A89" s="55">
        <v>46132</v>
      </c>
      <c r="B89" t="s">
        <v>185</v>
      </c>
      <c r="C89" t="s">
        <v>208</v>
      </c>
      <c r="D89">
        <v>1090231</v>
      </c>
      <c r="E89" t="s">
        <v>1855</v>
      </c>
      <c r="F89" t="s">
        <v>210</v>
      </c>
      <c r="G89" t="s">
        <v>555</v>
      </c>
      <c r="H89" s="31">
        <v>2500</v>
      </c>
    </row>
    <row r="90" spans="1:8" x14ac:dyDescent="0.3">
      <c r="A90" s="55">
        <v>46132</v>
      </c>
      <c r="B90" t="s">
        <v>185</v>
      </c>
      <c r="C90" t="s">
        <v>196</v>
      </c>
      <c r="D90">
        <v>1090221</v>
      </c>
      <c r="E90" t="s">
        <v>1230</v>
      </c>
      <c r="F90" t="s">
        <v>26</v>
      </c>
      <c r="G90" t="s">
        <v>142</v>
      </c>
      <c r="H90" s="31">
        <v>2000</v>
      </c>
    </row>
    <row r="91" spans="1:8" x14ac:dyDescent="0.3">
      <c r="A91" s="55">
        <v>46132</v>
      </c>
      <c r="B91" t="s">
        <v>185</v>
      </c>
      <c r="C91" t="s">
        <v>1838</v>
      </c>
      <c r="D91">
        <v>1090194</v>
      </c>
      <c r="E91" t="s">
        <v>1856</v>
      </c>
      <c r="F91" t="s">
        <v>60</v>
      </c>
      <c r="G91" t="s">
        <v>222</v>
      </c>
      <c r="H91" s="31">
        <v>1800</v>
      </c>
    </row>
    <row r="92" spans="1:8" x14ac:dyDescent="0.3">
      <c r="A92" s="55">
        <v>46132</v>
      </c>
      <c r="B92" t="s">
        <v>185</v>
      </c>
      <c r="C92" t="s">
        <v>208</v>
      </c>
      <c r="D92">
        <v>1090235</v>
      </c>
      <c r="E92" t="s">
        <v>1857</v>
      </c>
      <c r="F92" t="s">
        <v>210</v>
      </c>
      <c r="G92" t="s">
        <v>222</v>
      </c>
      <c r="H92" s="31">
        <v>2000</v>
      </c>
    </row>
    <row r="93" spans="1:8" x14ac:dyDescent="0.3">
      <c r="A93" s="55">
        <v>46132</v>
      </c>
      <c r="B93" t="s">
        <v>185</v>
      </c>
      <c r="C93" t="s">
        <v>186</v>
      </c>
      <c r="D93">
        <v>1090234</v>
      </c>
      <c r="E93" t="s">
        <v>1858</v>
      </c>
      <c r="F93" t="s">
        <v>210</v>
      </c>
      <c r="G93" t="s">
        <v>557</v>
      </c>
      <c r="H93" s="31">
        <v>2500</v>
      </c>
    </row>
    <row r="94" spans="1:8" x14ac:dyDescent="0.3">
      <c r="A94" s="55">
        <v>46132</v>
      </c>
      <c r="B94" t="s">
        <v>185</v>
      </c>
      <c r="C94" t="s">
        <v>1838</v>
      </c>
      <c r="D94">
        <v>1090194</v>
      </c>
      <c r="E94" t="s">
        <v>1856</v>
      </c>
      <c r="F94" t="s">
        <v>60</v>
      </c>
      <c r="G94" t="s">
        <v>226</v>
      </c>
      <c r="H94" s="31">
        <v>1800</v>
      </c>
    </row>
    <row r="95" spans="1:8" x14ac:dyDescent="0.3">
      <c r="A95" s="55">
        <v>46132</v>
      </c>
      <c r="B95" t="s">
        <v>185</v>
      </c>
      <c r="C95" t="s">
        <v>186</v>
      </c>
      <c r="D95">
        <v>1090234</v>
      </c>
      <c r="E95" t="s">
        <v>1858</v>
      </c>
      <c r="F95" t="s">
        <v>210</v>
      </c>
      <c r="G95" t="s">
        <v>226</v>
      </c>
      <c r="H95" s="31">
        <v>2000</v>
      </c>
    </row>
    <row r="96" spans="1:8" x14ac:dyDescent="0.3">
      <c r="A96" s="55">
        <v>46132</v>
      </c>
      <c r="B96" t="s">
        <v>185</v>
      </c>
      <c r="C96" t="s">
        <v>208</v>
      </c>
      <c r="D96">
        <v>1090232</v>
      </c>
      <c r="E96" t="s">
        <v>1859</v>
      </c>
      <c r="F96" t="s">
        <v>210</v>
      </c>
      <c r="G96" t="s">
        <v>226</v>
      </c>
      <c r="H96" s="31">
        <v>2500</v>
      </c>
    </row>
    <row r="97" spans="1:8" x14ac:dyDescent="0.3">
      <c r="A97" s="55">
        <v>46132</v>
      </c>
      <c r="B97" t="s">
        <v>185</v>
      </c>
      <c r="C97" t="s">
        <v>208</v>
      </c>
      <c r="D97">
        <v>1090233</v>
      </c>
      <c r="E97" t="s">
        <v>1860</v>
      </c>
      <c r="F97" t="s">
        <v>210</v>
      </c>
      <c r="G97" t="s">
        <v>231</v>
      </c>
      <c r="H97" s="31">
        <v>2500</v>
      </c>
    </row>
    <row r="98" spans="1:8" x14ac:dyDescent="0.3">
      <c r="A98" s="55">
        <v>46132</v>
      </c>
      <c r="B98" t="s">
        <v>185</v>
      </c>
      <c r="C98" t="s">
        <v>208</v>
      </c>
      <c r="D98">
        <v>1090231</v>
      </c>
      <c r="E98" t="s">
        <v>1855</v>
      </c>
      <c r="F98" t="s">
        <v>210</v>
      </c>
      <c r="G98" t="s">
        <v>231</v>
      </c>
      <c r="H98" s="31">
        <v>3000</v>
      </c>
    </row>
    <row r="99" spans="1:8" x14ac:dyDescent="0.3">
      <c r="A99" s="55">
        <v>46132</v>
      </c>
      <c r="B99" t="s">
        <v>185</v>
      </c>
      <c r="C99" t="s">
        <v>610</v>
      </c>
      <c r="D99">
        <v>1090163</v>
      </c>
      <c r="E99" t="s">
        <v>1861</v>
      </c>
      <c r="F99" t="s">
        <v>198</v>
      </c>
      <c r="G99" t="s">
        <v>152</v>
      </c>
      <c r="H99" s="31">
        <v>4000</v>
      </c>
    </row>
    <row r="100" spans="1:8" x14ac:dyDescent="0.3">
      <c r="A100" s="55">
        <v>46132</v>
      </c>
      <c r="B100" t="s">
        <v>185</v>
      </c>
      <c r="C100" t="s">
        <v>1838</v>
      </c>
      <c r="D100">
        <v>1090194</v>
      </c>
      <c r="E100" t="s">
        <v>1856</v>
      </c>
      <c r="F100" t="s">
        <v>60</v>
      </c>
      <c r="G100" t="s">
        <v>233</v>
      </c>
      <c r="H100" s="31">
        <v>2000</v>
      </c>
    </row>
    <row r="101" spans="1:8" x14ac:dyDescent="0.3">
      <c r="A101" s="55">
        <v>46132</v>
      </c>
      <c r="B101" t="s">
        <v>185</v>
      </c>
      <c r="C101" t="s">
        <v>208</v>
      </c>
      <c r="D101">
        <v>1090233</v>
      </c>
      <c r="E101" t="s">
        <v>1860</v>
      </c>
      <c r="F101" t="s">
        <v>210</v>
      </c>
      <c r="G101" t="s">
        <v>233</v>
      </c>
      <c r="H101" s="31">
        <v>2500</v>
      </c>
    </row>
    <row r="102" spans="1:8" x14ac:dyDescent="0.3">
      <c r="A102" s="55">
        <v>46132</v>
      </c>
      <c r="B102" t="s">
        <v>185</v>
      </c>
      <c r="C102" t="s">
        <v>208</v>
      </c>
      <c r="D102">
        <v>1090232</v>
      </c>
      <c r="E102" t="s">
        <v>1859</v>
      </c>
      <c r="F102" t="s">
        <v>210</v>
      </c>
      <c r="G102" t="s">
        <v>233</v>
      </c>
      <c r="H102" s="31">
        <v>2500</v>
      </c>
    </row>
    <row r="103" spans="1:8" x14ac:dyDescent="0.3">
      <c r="A103" s="55">
        <v>46132</v>
      </c>
      <c r="B103" t="s">
        <v>185</v>
      </c>
      <c r="C103" t="s">
        <v>186</v>
      </c>
      <c r="D103">
        <v>1090234</v>
      </c>
      <c r="E103" t="s">
        <v>1858</v>
      </c>
      <c r="F103" t="s">
        <v>210</v>
      </c>
      <c r="G103" t="s">
        <v>237</v>
      </c>
      <c r="H103" s="31">
        <v>2000</v>
      </c>
    </row>
    <row r="104" spans="1:8" x14ac:dyDescent="0.3">
      <c r="A104" s="55">
        <v>46133</v>
      </c>
      <c r="B104" s="18" t="s">
        <v>11</v>
      </c>
      <c r="C104" s="18" t="s">
        <v>1862</v>
      </c>
      <c r="D104" s="18">
        <v>1090265</v>
      </c>
      <c r="E104" s="18" t="s">
        <v>1863</v>
      </c>
      <c r="F104" s="18" t="s">
        <v>1864</v>
      </c>
      <c r="G104" s="18" t="s">
        <v>27</v>
      </c>
      <c r="H104" s="27">
        <v>9000</v>
      </c>
    </row>
    <row r="105" spans="1:8" x14ac:dyDescent="0.3">
      <c r="A105" s="55">
        <v>46133</v>
      </c>
      <c r="B105" s="18" t="s">
        <v>11</v>
      </c>
      <c r="C105" s="18" t="s">
        <v>1865</v>
      </c>
      <c r="D105" s="18">
        <v>1090256</v>
      </c>
      <c r="E105" s="18" t="s">
        <v>1866</v>
      </c>
      <c r="F105" s="18" t="s">
        <v>26</v>
      </c>
      <c r="G105" s="18" t="s">
        <v>35</v>
      </c>
      <c r="H105" s="27">
        <v>20000</v>
      </c>
    </row>
    <row r="106" spans="1:8" x14ac:dyDescent="0.3">
      <c r="A106" s="55">
        <v>46133</v>
      </c>
      <c r="B106" s="18" t="s">
        <v>11</v>
      </c>
      <c r="C106" s="18" t="s">
        <v>1867</v>
      </c>
      <c r="D106" s="18">
        <v>1090284</v>
      </c>
      <c r="E106" s="18" t="s">
        <v>1868</v>
      </c>
      <c r="F106" s="18" t="s">
        <v>160</v>
      </c>
      <c r="G106" s="18" t="s">
        <v>84</v>
      </c>
      <c r="H106" s="27">
        <v>18000</v>
      </c>
    </row>
    <row r="107" spans="1:8" x14ac:dyDescent="0.3">
      <c r="A107" s="55">
        <v>46133</v>
      </c>
      <c r="B107" s="18" t="s">
        <v>11</v>
      </c>
      <c r="C107" s="18" t="s">
        <v>1869</v>
      </c>
      <c r="D107" s="18">
        <v>1090288</v>
      </c>
      <c r="E107" s="18" t="s">
        <v>1870</v>
      </c>
      <c r="F107" s="18" t="s">
        <v>26</v>
      </c>
      <c r="G107" s="18" t="s">
        <v>84</v>
      </c>
      <c r="H107" s="27">
        <v>20000</v>
      </c>
    </row>
    <row r="108" spans="1:8" x14ac:dyDescent="0.3">
      <c r="A108" s="55">
        <v>46133</v>
      </c>
      <c r="B108" s="18" t="s">
        <v>11</v>
      </c>
      <c r="C108" s="18" t="s">
        <v>401</v>
      </c>
      <c r="D108" s="18">
        <v>1090310</v>
      </c>
      <c r="E108" s="18" t="s">
        <v>1871</v>
      </c>
      <c r="F108" s="18" t="s">
        <v>26</v>
      </c>
      <c r="G108" s="18" t="s">
        <v>45</v>
      </c>
      <c r="H108" s="27">
        <v>25000</v>
      </c>
    </row>
    <row r="109" spans="1:8" x14ac:dyDescent="0.3">
      <c r="A109" s="55">
        <v>46133</v>
      </c>
      <c r="B109" s="18" t="s">
        <v>11</v>
      </c>
      <c r="C109" s="18" t="s">
        <v>1867</v>
      </c>
      <c r="D109" s="18">
        <v>1090284</v>
      </c>
      <c r="E109" s="18" t="s">
        <v>1868</v>
      </c>
      <c r="F109" s="18" t="s">
        <v>160</v>
      </c>
      <c r="G109" s="18" t="s">
        <v>793</v>
      </c>
      <c r="H109" s="27">
        <v>18000</v>
      </c>
    </row>
    <row r="110" spans="1:8" x14ac:dyDescent="0.3">
      <c r="A110" s="55">
        <v>46133</v>
      </c>
      <c r="B110" s="18" t="s">
        <v>11</v>
      </c>
      <c r="C110" s="18" t="s">
        <v>1872</v>
      </c>
      <c r="D110" s="18">
        <v>1090295</v>
      </c>
      <c r="E110" s="18" t="s">
        <v>1873</v>
      </c>
      <c r="F110" s="18" t="s">
        <v>79</v>
      </c>
      <c r="G110" s="18" t="s">
        <v>222</v>
      </c>
      <c r="H110" s="27">
        <v>1800</v>
      </c>
    </row>
    <row r="111" spans="1:8" x14ac:dyDescent="0.3">
      <c r="A111" s="55">
        <v>46133</v>
      </c>
      <c r="B111" s="10" t="s">
        <v>0</v>
      </c>
      <c r="C111" s="10" t="s">
        <v>271</v>
      </c>
      <c r="D111" s="10">
        <v>1090247</v>
      </c>
      <c r="E111" s="10" t="s">
        <v>1874</v>
      </c>
      <c r="F111" s="10" t="s">
        <v>26</v>
      </c>
      <c r="G111" s="10" t="s">
        <v>48</v>
      </c>
      <c r="H111" s="29">
        <v>2500</v>
      </c>
    </row>
    <row r="112" spans="1:8" x14ac:dyDescent="0.3">
      <c r="A112" s="55">
        <v>46133</v>
      </c>
      <c r="B112" s="10" t="s">
        <v>0</v>
      </c>
      <c r="C112" s="10" t="s">
        <v>135</v>
      </c>
      <c r="D112" s="10">
        <v>1090293</v>
      </c>
      <c r="E112" s="10" t="s">
        <v>1875</v>
      </c>
      <c r="F112" s="10" t="s">
        <v>26</v>
      </c>
      <c r="G112" s="10" t="s">
        <v>465</v>
      </c>
      <c r="H112" s="29">
        <v>14000</v>
      </c>
    </row>
    <row r="113" spans="1:8" x14ac:dyDescent="0.3">
      <c r="A113" s="55">
        <v>46133</v>
      </c>
      <c r="B113" s="10" t="s">
        <v>0</v>
      </c>
      <c r="C113" s="10" t="s">
        <v>1876</v>
      </c>
      <c r="D113" s="10">
        <v>1090253</v>
      </c>
      <c r="E113" s="10" t="s">
        <v>1877</v>
      </c>
      <c r="F113" s="10" t="s">
        <v>26</v>
      </c>
      <c r="G113" s="10" t="s">
        <v>465</v>
      </c>
      <c r="H113" s="29">
        <v>14000</v>
      </c>
    </row>
    <row r="114" spans="1:8" x14ac:dyDescent="0.3">
      <c r="A114" s="55">
        <v>46133</v>
      </c>
      <c r="B114" s="10" t="s">
        <v>0</v>
      </c>
      <c r="C114" s="10" t="s">
        <v>973</v>
      </c>
      <c r="D114" s="10">
        <v>1090300</v>
      </c>
      <c r="E114" s="10" t="s">
        <v>1878</v>
      </c>
      <c r="F114" s="10" t="s">
        <v>79</v>
      </c>
      <c r="G114" s="10" t="s">
        <v>499</v>
      </c>
      <c r="H114" s="29">
        <v>18000</v>
      </c>
    </row>
    <row r="115" spans="1:8" x14ac:dyDescent="0.3">
      <c r="A115" s="55">
        <v>46133</v>
      </c>
      <c r="B115" s="10" t="s">
        <v>0</v>
      </c>
      <c r="C115" s="10" t="s">
        <v>1879</v>
      </c>
      <c r="D115" s="10">
        <v>1090239</v>
      </c>
      <c r="E115" s="10" t="s">
        <v>1880</v>
      </c>
      <c r="F115" s="10" t="s">
        <v>26</v>
      </c>
      <c r="G115" s="10" t="s">
        <v>51</v>
      </c>
      <c r="H115" s="29">
        <v>15000</v>
      </c>
    </row>
    <row r="116" spans="1:8" x14ac:dyDescent="0.3">
      <c r="A116" s="55">
        <v>46133</v>
      </c>
      <c r="B116" s="10" t="s">
        <v>0</v>
      </c>
      <c r="C116" s="10" t="s">
        <v>1881</v>
      </c>
      <c r="D116" s="10">
        <v>1090242</v>
      </c>
      <c r="E116" s="10" t="s">
        <v>1882</v>
      </c>
      <c r="F116" s="10" t="s">
        <v>26</v>
      </c>
      <c r="G116" s="10" t="s">
        <v>1883</v>
      </c>
      <c r="H116" s="29">
        <v>12000</v>
      </c>
    </row>
    <row r="117" spans="1:8" x14ac:dyDescent="0.3">
      <c r="A117" s="55">
        <v>46133</v>
      </c>
      <c r="B117" s="10" t="s">
        <v>0</v>
      </c>
      <c r="C117" s="10" t="s">
        <v>1884</v>
      </c>
      <c r="D117" s="10">
        <v>1090299</v>
      </c>
      <c r="E117" s="10" t="s">
        <v>1885</v>
      </c>
      <c r="F117" s="10" t="s">
        <v>26</v>
      </c>
      <c r="G117" s="10" t="s">
        <v>27</v>
      </c>
      <c r="H117" s="29">
        <v>12000</v>
      </c>
    </row>
    <row r="118" spans="1:8" x14ac:dyDescent="0.3">
      <c r="A118" s="55">
        <v>46133</v>
      </c>
      <c r="B118" s="10" t="s">
        <v>0</v>
      </c>
      <c r="C118" s="10" t="s">
        <v>802</v>
      </c>
      <c r="D118" s="10">
        <v>1090292</v>
      </c>
      <c r="E118" s="10" t="s">
        <v>1886</v>
      </c>
      <c r="F118" s="10" t="s">
        <v>26</v>
      </c>
      <c r="G118" s="10" t="s">
        <v>27</v>
      </c>
      <c r="H118" s="29">
        <v>12000</v>
      </c>
    </row>
    <row r="119" spans="1:8" x14ac:dyDescent="0.3">
      <c r="A119" s="55">
        <v>46133</v>
      </c>
      <c r="B119" s="10" t="s">
        <v>0</v>
      </c>
      <c r="C119" s="10" t="s">
        <v>1887</v>
      </c>
      <c r="D119" s="10">
        <v>1090302</v>
      </c>
      <c r="E119" s="10" t="s">
        <v>1888</v>
      </c>
      <c r="F119" s="10" t="s">
        <v>26</v>
      </c>
      <c r="G119" s="10" t="s">
        <v>54</v>
      </c>
      <c r="H119" s="29">
        <v>14000</v>
      </c>
    </row>
    <row r="120" spans="1:8" x14ac:dyDescent="0.3">
      <c r="A120" s="55">
        <v>46133</v>
      </c>
      <c r="B120" s="10" t="s">
        <v>0</v>
      </c>
      <c r="C120" s="10" t="s">
        <v>1889</v>
      </c>
      <c r="D120" s="10">
        <v>1090245</v>
      </c>
      <c r="E120" s="10" t="s">
        <v>1890</v>
      </c>
      <c r="F120" s="10" t="s">
        <v>34</v>
      </c>
      <c r="G120" s="10" t="s">
        <v>35</v>
      </c>
      <c r="H120" s="29">
        <v>18000</v>
      </c>
    </row>
    <row r="121" spans="1:8" s="71" customFormat="1" x14ac:dyDescent="0.3">
      <c r="A121" s="72">
        <v>46133</v>
      </c>
      <c r="B121" s="73" t="s">
        <v>0</v>
      </c>
      <c r="C121" s="73" t="s">
        <v>90</v>
      </c>
      <c r="D121" s="73">
        <v>1090275</v>
      </c>
      <c r="E121" s="73" t="s">
        <v>1891</v>
      </c>
      <c r="F121" s="73" t="s">
        <v>26</v>
      </c>
      <c r="G121" s="73" t="s">
        <v>353</v>
      </c>
      <c r="H121" s="74">
        <v>11920</v>
      </c>
    </row>
    <row r="122" spans="1:8" x14ac:dyDescent="0.3">
      <c r="A122" s="55">
        <v>46133</v>
      </c>
      <c r="B122" s="10" t="s">
        <v>0</v>
      </c>
      <c r="C122" s="10" t="s">
        <v>530</v>
      </c>
      <c r="D122" s="10">
        <v>1090291</v>
      </c>
      <c r="E122" s="10" t="s">
        <v>1892</v>
      </c>
      <c r="F122" s="10" t="s">
        <v>26</v>
      </c>
      <c r="G122" s="10" t="s">
        <v>1433</v>
      </c>
      <c r="H122" s="29">
        <v>35000</v>
      </c>
    </row>
    <row r="123" spans="1:8" x14ac:dyDescent="0.3">
      <c r="A123" s="55">
        <v>46133</v>
      </c>
      <c r="B123" s="10" t="s">
        <v>0</v>
      </c>
      <c r="C123" s="10" t="s">
        <v>114</v>
      </c>
      <c r="D123" s="10">
        <v>1090268</v>
      </c>
      <c r="E123" s="10" t="s">
        <v>1893</v>
      </c>
      <c r="F123" s="10" t="s">
        <v>26</v>
      </c>
      <c r="G123" s="10" t="s">
        <v>316</v>
      </c>
      <c r="H123" s="29">
        <v>20000</v>
      </c>
    </row>
    <row r="124" spans="1:8" x14ac:dyDescent="0.3">
      <c r="A124" s="55">
        <v>46133</v>
      </c>
      <c r="B124" s="10" t="s">
        <v>0</v>
      </c>
      <c r="C124" s="10" t="s">
        <v>1499</v>
      </c>
      <c r="D124" s="10">
        <v>1090246</v>
      </c>
      <c r="E124" s="10" t="s">
        <v>1894</v>
      </c>
      <c r="F124" s="10" t="s">
        <v>26</v>
      </c>
      <c r="G124" s="10" t="s">
        <v>316</v>
      </c>
      <c r="H124" s="29">
        <v>20000</v>
      </c>
    </row>
    <row r="125" spans="1:8" x14ac:dyDescent="0.3">
      <c r="A125" s="55">
        <v>46133</v>
      </c>
      <c r="B125" s="10" t="s">
        <v>0</v>
      </c>
      <c r="C125" s="10" t="s">
        <v>271</v>
      </c>
      <c r="D125" s="10">
        <v>1090258</v>
      </c>
      <c r="E125" s="10" t="s">
        <v>1895</v>
      </c>
      <c r="F125" s="10" t="s">
        <v>26</v>
      </c>
      <c r="G125" s="10" t="s">
        <v>483</v>
      </c>
      <c r="H125" s="29">
        <v>25000</v>
      </c>
    </row>
    <row r="126" spans="1:8" x14ac:dyDescent="0.3">
      <c r="A126" s="55">
        <v>46133</v>
      </c>
      <c r="B126" s="10" t="s">
        <v>0</v>
      </c>
      <c r="C126" s="10" t="s">
        <v>1889</v>
      </c>
      <c r="D126" s="10">
        <v>1090245</v>
      </c>
      <c r="E126" s="10" t="s">
        <v>1890</v>
      </c>
      <c r="F126" s="10" t="s">
        <v>34</v>
      </c>
      <c r="G126" s="10" t="s">
        <v>366</v>
      </c>
      <c r="H126" s="29">
        <v>18000</v>
      </c>
    </row>
    <row r="127" spans="1:8" x14ac:dyDescent="0.3">
      <c r="A127" s="55">
        <v>46133</v>
      </c>
      <c r="B127" s="10" t="s">
        <v>0</v>
      </c>
      <c r="C127" s="10" t="s">
        <v>1889</v>
      </c>
      <c r="D127" s="10">
        <v>1090257</v>
      </c>
      <c r="E127" s="10" t="s">
        <v>1890</v>
      </c>
      <c r="F127" s="10" t="s">
        <v>34</v>
      </c>
      <c r="G127" s="10" t="s">
        <v>663</v>
      </c>
      <c r="H127" s="29">
        <v>18000</v>
      </c>
    </row>
    <row r="128" spans="1:8" x14ac:dyDescent="0.3">
      <c r="A128" s="55">
        <v>46133</v>
      </c>
      <c r="B128" s="10" t="s">
        <v>0</v>
      </c>
      <c r="C128" s="10" t="s">
        <v>1896</v>
      </c>
      <c r="D128" s="10">
        <v>1090271</v>
      </c>
      <c r="E128" s="10" t="s">
        <v>1897</v>
      </c>
      <c r="F128" s="10" t="s">
        <v>79</v>
      </c>
      <c r="G128" s="10" t="s">
        <v>39</v>
      </c>
      <c r="H128" s="29">
        <v>22000</v>
      </c>
    </row>
    <row r="129" spans="1:8" x14ac:dyDescent="0.3">
      <c r="A129" s="55">
        <v>46133</v>
      </c>
      <c r="B129" s="10" t="s">
        <v>0</v>
      </c>
      <c r="C129" s="10" t="s">
        <v>295</v>
      </c>
      <c r="D129" s="10">
        <v>1090298</v>
      </c>
      <c r="E129" s="10" t="s">
        <v>1898</v>
      </c>
      <c r="F129" s="10" t="s">
        <v>26</v>
      </c>
      <c r="G129" s="10" t="s">
        <v>39</v>
      </c>
      <c r="H129" s="29">
        <v>20000</v>
      </c>
    </row>
    <row r="130" spans="1:8" x14ac:dyDescent="0.3">
      <c r="A130" s="55">
        <v>46133</v>
      </c>
      <c r="B130" s="10" t="s">
        <v>0</v>
      </c>
      <c r="C130" s="10" t="s">
        <v>135</v>
      </c>
      <c r="D130" s="10">
        <v>1090287</v>
      </c>
      <c r="E130" s="10" t="s">
        <v>1899</v>
      </c>
      <c r="F130" s="10" t="s">
        <v>26</v>
      </c>
      <c r="G130" s="10" t="s">
        <v>39</v>
      </c>
      <c r="H130" s="29">
        <v>20000</v>
      </c>
    </row>
    <row r="131" spans="1:8" x14ac:dyDescent="0.3">
      <c r="A131" s="55">
        <v>46133</v>
      </c>
      <c r="B131" s="10" t="s">
        <v>0</v>
      </c>
      <c r="C131" s="10" t="s">
        <v>1900</v>
      </c>
      <c r="D131" s="10">
        <v>1090262</v>
      </c>
      <c r="E131" s="10" t="s">
        <v>1901</v>
      </c>
      <c r="F131" s="10" t="s">
        <v>34</v>
      </c>
      <c r="G131" s="10" t="s">
        <v>84</v>
      </c>
      <c r="H131" s="29">
        <v>18000</v>
      </c>
    </row>
    <row r="132" spans="1:8" x14ac:dyDescent="0.3">
      <c r="A132" s="55">
        <v>46133</v>
      </c>
      <c r="B132" s="10" t="s">
        <v>0</v>
      </c>
      <c r="C132" s="10" t="s">
        <v>1902</v>
      </c>
      <c r="D132" s="10">
        <v>1090249</v>
      </c>
      <c r="E132" s="10" t="s">
        <v>1903</v>
      </c>
      <c r="F132" s="10" t="s">
        <v>34</v>
      </c>
      <c r="G132" s="10" t="s">
        <v>84</v>
      </c>
      <c r="H132" s="29">
        <v>18000</v>
      </c>
    </row>
    <row r="133" spans="1:8" x14ac:dyDescent="0.3">
      <c r="A133" s="55">
        <v>46133</v>
      </c>
      <c r="B133" s="10" t="s">
        <v>0</v>
      </c>
      <c r="C133" s="10" t="s">
        <v>1694</v>
      </c>
      <c r="D133" s="10">
        <v>1090277</v>
      </c>
      <c r="E133" s="10" t="s">
        <v>1904</v>
      </c>
      <c r="F133" s="10" t="s">
        <v>26</v>
      </c>
      <c r="G133" s="10" t="s">
        <v>95</v>
      </c>
      <c r="H133" s="29">
        <v>26000</v>
      </c>
    </row>
    <row r="134" spans="1:8" x14ac:dyDescent="0.3">
      <c r="A134" s="55">
        <v>46133</v>
      </c>
      <c r="B134" s="10" t="s">
        <v>0</v>
      </c>
      <c r="C134" s="10" t="s">
        <v>1905</v>
      </c>
      <c r="D134" s="10">
        <v>1090297</v>
      </c>
      <c r="E134" s="10" t="s">
        <v>1906</v>
      </c>
      <c r="F134" s="10" t="s">
        <v>26</v>
      </c>
      <c r="G134" s="10" t="s">
        <v>45</v>
      </c>
      <c r="H134" s="29">
        <v>25000</v>
      </c>
    </row>
    <row r="135" spans="1:8" x14ac:dyDescent="0.3">
      <c r="A135" s="55">
        <v>46133</v>
      </c>
      <c r="B135" s="10" t="s">
        <v>0</v>
      </c>
      <c r="C135" s="10" t="s">
        <v>1907</v>
      </c>
      <c r="D135" s="10">
        <v>1090290</v>
      </c>
      <c r="E135" s="10" t="s">
        <v>1908</v>
      </c>
      <c r="F135" s="10" t="s">
        <v>26</v>
      </c>
      <c r="G135" s="10" t="s">
        <v>195</v>
      </c>
      <c r="H135" s="29">
        <v>20000</v>
      </c>
    </row>
    <row r="136" spans="1:8" x14ac:dyDescent="0.3">
      <c r="A136" s="55">
        <v>46133</v>
      </c>
      <c r="B136" s="10" t="s">
        <v>0</v>
      </c>
      <c r="C136" s="10" t="s">
        <v>1909</v>
      </c>
      <c r="D136" s="10">
        <v>1090289</v>
      </c>
      <c r="E136" s="10" t="s">
        <v>1910</v>
      </c>
      <c r="F136" s="10" t="s">
        <v>26</v>
      </c>
      <c r="G136" s="10" t="s">
        <v>195</v>
      </c>
      <c r="H136" s="29">
        <v>20000</v>
      </c>
    </row>
    <row r="137" spans="1:8" x14ac:dyDescent="0.3">
      <c r="A137" s="55">
        <v>46133</v>
      </c>
      <c r="B137" s="10" t="s">
        <v>0</v>
      </c>
      <c r="C137" s="10" t="s">
        <v>80</v>
      </c>
      <c r="D137" s="10">
        <v>1090273</v>
      </c>
      <c r="E137" s="10" t="s">
        <v>1911</v>
      </c>
      <c r="F137" s="10" t="s">
        <v>26</v>
      </c>
      <c r="G137" s="10" t="s">
        <v>168</v>
      </c>
      <c r="H137" s="29">
        <v>22000</v>
      </c>
    </row>
    <row r="138" spans="1:8" x14ac:dyDescent="0.3">
      <c r="A138" s="55">
        <v>46133</v>
      </c>
      <c r="B138" s="10" t="s">
        <v>0</v>
      </c>
      <c r="C138" s="10" t="s">
        <v>77</v>
      </c>
      <c r="D138" s="10">
        <v>1090255</v>
      </c>
      <c r="E138" s="10" t="s">
        <v>1912</v>
      </c>
      <c r="F138" s="10" t="s">
        <v>160</v>
      </c>
      <c r="G138" s="10" t="s">
        <v>104</v>
      </c>
      <c r="H138" s="29">
        <v>4000</v>
      </c>
    </row>
    <row r="139" spans="1:8" x14ac:dyDescent="0.3">
      <c r="A139" s="55">
        <v>46133</v>
      </c>
      <c r="B139" s="10" t="s">
        <v>0</v>
      </c>
      <c r="C139" s="10" t="s">
        <v>271</v>
      </c>
      <c r="D139" s="10">
        <v>1090238</v>
      </c>
      <c r="E139" s="10" t="s">
        <v>1913</v>
      </c>
      <c r="F139" s="10" t="s">
        <v>26</v>
      </c>
      <c r="G139" s="10" t="s">
        <v>104</v>
      </c>
      <c r="H139" s="29">
        <v>3000</v>
      </c>
    </row>
    <row r="140" spans="1:8" x14ac:dyDescent="0.3">
      <c r="A140" s="55">
        <v>46133</v>
      </c>
      <c r="B140" s="10" t="s">
        <v>0</v>
      </c>
      <c r="C140" s="10" t="s">
        <v>271</v>
      </c>
      <c r="D140" s="10">
        <v>1090272</v>
      </c>
      <c r="E140" s="10" t="s">
        <v>1914</v>
      </c>
      <c r="F140" s="10" t="s">
        <v>26</v>
      </c>
      <c r="G140" s="10" t="s">
        <v>104</v>
      </c>
      <c r="H140" s="29">
        <v>3000</v>
      </c>
    </row>
    <row r="141" spans="1:8" x14ac:dyDescent="0.3">
      <c r="A141" s="55">
        <v>46133</v>
      </c>
      <c r="B141" s="10" t="s">
        <v>0</v>
      </c>
      <c r="C141" s="10" t="s">
        <v>302</v>
      </c>
      <c r="D141" s="10">
        <v>1090254</v>
      </c>
      <c r="E141" s="10" t="s">
        <v>859</v>
      </c>
      <c r="F141" s="10" t="s">
        <v>26</v>
      </c>
      <c r="G141" s="10" t="s">
        <v>104</v>
      </c>
      <c r="H141" s="29">
        <v>3000</v>
      </c>
    </row>
    <row r="142" spans="1:8" x14ac:dyDescent="0.3">
      <c r="A142" s="55">
        <v>46133</v>
      </c>
      <c r="B142" s="10" t="s">
        <v>0</v>
      </c>
      <c r="C142" s="10" t="s">
        <v>1915</v>
      </c>
      <c r="D142" s="10">
        <v>1090250</v>
      </c>
      <c r="E142" s="10" t="s">
        <v>1916</v>
      </c>
      <c r="F142" s="10" t="s">
        <v>26</v>
      </c>
      <c r="G142" s="10" t="s">
        <v>337</v>
      </c>
      <c r="H142" s="29">
        <v>4000</v>
      </c>
    </row>
    <row r="143" spans="1:8" x14ac:dyDescent="0.3">
      <c r="A143" s="55">
        <v>46133</v>
      </c>
      <c r="B143" s="10" t="s">
        <v>0</v>
      </c>
      <c r="C143" s="10" t="s">
        <v>694</v>
      </c>
      <c r="D143" s="10">
        <v>1090280</v>
      </c>
      <c r="E143" s="10" t="s">
        <v>1917</v>
      </c>
      <c r="F143" s="10" t="s">
        <v>26</v>
      </c>
      <c r="G143" s="10" t="s">
        <v>837</v>
      </c>
      <c r="H143" s="29">
        <v>8000</v>
      </c>
    </row>
    <row r="144" spans="1:8" x14ac:dyDescent="0.3">
      <c r="A144" s="55">
        <v>46133</v>
      </c>
      <c r="B144" s="10" t="s">
        <v>0</v>
      </c>
      <c r="C144" s="10" t="s">
        <v>1918</v>
      </c>
      <c r="D144" s="10">
        <v>1090248</v>
      </c>
      <c r="E144" s="10" t="s">
        <v>1919</v>
      </c>
      <c r="F144" s="10" t="s">
        <v>26</v>
      </c>
      <c r="G144" s="10" t="s">
        <v>116</v>
      </c>
      <c r="H144" s="29">
        <v>5000</v>
      </c>
    </row>
    <row r="145" spans="1:8" x14ac:dyDescent="0.3">
      <c r="A145" s="55">
        <v>46133</v>
      </c>
      <c r="B145" s="10" t="s">
        <v>0</v>
      </c>
      <c r="C145" s="10" t="s">
        <v>1920</v>
      </c>
      <c r="D145" s="10">
        <v>1090252</v>
      </c>
      <c r="E145" s="10" t="s">
        <v>1921</v>
      </c>
      <c r="F145" s="10" t="s">
        <v>26</v>
      </c>
      <c r="G145" s="10" t="s">
        <v>119</v>
      </c>
      <c r="H145" s="29">
        <v>3000</v>
      </c>
    </row>
    <row r="146" spans="1:8" x14ac:dyDescent="0.3">
      <c r="A146" s="55">
        <v>46133</v>
      </c>
      <c r="B146" s="10" t="s">
        <v>0</v>
      </c>
      <c r="C146" s="10" t="s">
        <v>1922</v>
      </c>
      <c r="D146" s="10">
        <v>1090260</v>
      </c>
      <c r="E146" s="10" t="s">
        <v>1923</v>
      </c>
      <c r="F146" s="10" t="s">
        <v>26</v>
      </c>
      <c r="G146" s="10" t="s">
        <v>124</v>
      </c>
      <c r="H146" s="29">
        <v>3000</v>
      </c>
    </row>
    <row r="147" spans="1:8" x14ac:dyDescent="0.3">
      <c r="A147" s="55">
        <v>46133</v>
      </c>
      <c r="B147" s="10" t="s">
        <v>0</v>
      </c>
      <c r="C147" s="10" t="s">
        <v>1055</v>
      </c>
      <c r="D147" s="10">
        <v>1090251</v>
      </c>
      <c r="E147" s="10" t="s">
        <v>1924</v>
      </c>
      <c r="F147" s="10" t="s">
        <v>34</v>
      </c>
      <c r="G147" s="10" t="s">
        <v>129</v>
      </c>
      <c r="H147" s="29">
        <v>4000</v>
      </c>
    </row>
    <row r="148" spans="1:8" x14ac:dyDescent="0.3">
      <c r="A148" s="55">
        <v>46133</v>
      </c>
      <c r="B148" s="10" t="s">
        <v>0</v>
      </c>
      <c r="C148" s="10" t="s">
        <v>1925</v>
      </c>
      <c r="D148" s="10">
        <v>1090278</v>
      </c>
      <c r="E148" s="10" t="s">
        <v>1926</v>
      </c>
      <c r="F148" s="10" t="s">
        <v>26</v>
      </c>
      <c r="G148" s="10" t="s">
        <v>134</v>
      </c>
      <c r="H148" s="29">
        <v>4000</v>
      </c>
    </row>
    <row r="149" spans="1:8" x14ac:dyDescent="0.3">
      <c r="A149" s="55">
        <v>46133</v>
      </c>
      <c r="B149" s="10" t="s">
        <v>0</v>
      </c>
      <c r="C149" s="10" t="s">
        <v>130</v>
      </c>
      <c r="D149" s="10">
        <v>1090304</v>
      </c>
      <c r="E149" s="10" t="s">
        <v>1927</v>
      </c>
      <c r="F149" s="10" t="s">
        <v>201</v>
      </c>
      <c r="G149" s="10" t="s">
        <v>134</v>
      </c>
      <c r="H149" s="29">
        <v>4000</v>
      </c>
    </row>
    <row r="150" spans="1:8" x14ac:dyDescent="0.3">
      <c r="A150" s="55">
        <v>46133</v>
      </c>
      <c r="B150" s="10" t="s">
        <v>0</v>
      </c>
      <c r="C150" s="10" t="s">
        <v>1928</v>
      </c>
      <c r="D150" s="10">
        <v>1090259</v>
      </c>
      <c r="E150" s="10" t="s">
        <v>1929</v>
      </c>
      <c r="F150" s="10" t="s">
        <v>26</v>
      </c>
      <c r="G150" s="10" t="s">
        <v>211</v>
      </c>
      <c r="H150" s="29">
        <v>2500</v>
      </c>
    </row>
    <row r="151" spans="1:8" x14ac:dyDescent="0.3">
      <c r="A151" s="55">
        <v>46133</v>
      </c>
      <c r="B151" s="10" t="s">
        <v>0</v>
      </c>
      <c r="C151" s="10" t="s">
        <v>1887</v>
      </c>
      <c r="D151" s="10">
        <v>1090302</v>
      </c>
      <c r="E151" s="10" t="s">
        <v>1888</v>
      </c>
      <c r="F151" s="10" t="s">
        <v>26</v>
      </c>
      <c r="G151" s="10" t="s">
        <v>555</v>
      </c>
      <c r="H151" s="29">
        <v>2500</v>
      </c>
    </row>
    <row r="152" spans="1:8" x14ac:dyDescent="0.3">
      <c r="A152" s="55">
        <v>46133</v>
      </c>
      <c r="B152" s="10" t="s">
        <v>0</v>
      </c>
      <c r="C152" s="10" t="s">
        <v>1930</v>
      </c>
      <c r="D152" s="10">
        <v>1090296</v>
      </c>
      <c r="E152" s="10" t="s">
        <v>1931</v>
      </c>
      <c r="F152" s="10" t="s">
        <v>198</v>
      </c>
      <c r="G152" s="10" t="s">
        <v>142</v>
      </c>
      <c r="H152" s="29">
        <v>2200</v>
      </c>
    </row>
    <row r="153" spans="1:8" x14ac:dyDescent="0.3">
      <c r="A153" s="55">
        <v>46133</v>
      </c>
      <c r="B153" s="10" t="s">
        <v>0</v>
      </c>
      <c r="C153" s="10" t="s">
        <v>1879</v>
      </c>
      <c r="D153" s="10">
        <v>1090239</v>
      </c>
      <c r="E153" s="10" t="s">
        <v>1880</v>
      </c>
      <c r="F153" s="10" t="s">
        <v>26</v>
      </c>
      <c r="G153" s="10" t="s">
        <v>142</v>
      </c>
      <c r="H153" s="29">
        <v>2000</v>
      </c>
    </row>
    <row r="154" spans="1:8" x14ac:dyDescent="0.3">
      <c r="A154" s="55">
        <v>46133</v>
      </c>
      <c r="B154" s="10" t="s">
        <v>0</v>
      </c>
      <c r="C154" s="10" t="s">
        <v>77</v>
      </c>
      <c r="D154" s="10">
        <v>1090264</v>
      </c>
      <c r="E154" s="10" t="s">
        <v>1932</v>
      </c>
      <c r="F154" s="10" t="s">
        <v>26</v>
      </c>
      <c r="G154" s="10" t="s">
        <v>142</v>
      </c>
      <c r="H154" s="29">
        <v>2000</v>
      </c>
    </row>
    <row r="155" spans="1:8" x14ac:dyDescent="0.3">
      <c r="A155" s="55">
        <v>46133</v>
      </c>
      <c r="B155" s="10" t="s">
        <v>0</v>
      </c>
      <c r="C155" s="10" t="s">
        <v>302</v>
      </c>
      <c r="D155" s="10">
        <v>1090254</v>
      </c>
      <c r="E155" s="10" t="s">
        <v>859</v>
      </c>
      <c r="F155" s="10" t="s">
        <v>26</v>
      </c>
      <c r="G155" s="10" t="s">
        <v>142</v>
      </c>
      <c r="H155" s="29">
        <v>2000</v>
      </c>
    </row>
    <row r="156" spans="1:8" x14ac:dyDescent="0.3">
      <c r="A156" s="55">
        <v>46133</v>
      </c>
      <c r="B156" s="10" t="s">
        <v>0</v>
      </c>
      <c r="C156" s="10" t="s">
        <v>1159</v>
      </c>
      <c r="D156" s="10">
        <v>1090281</v>
      </c>
      <c r="E156" s="10" t="s">
        <v>1933</v>
      </c>
      <c r="F156" s="10" t="s">
        <v>26</v>
      </c>
      <c r="G156" s="10" t="s">
        <v>231</v>
      </c>
      <c r="H156" s="29">
        <v>2500</v>
      </c>
    </row>
    <row r="157" spans="1:8" x14ac:dyDescent="0.3">
      <c r="A157" s="55">
        <v>46133</v>
      </c>
      <c r="B157" s="10" t="s">
        <v>0</v>
      </c>
      <c r="C157" s="10" t="s">
        <v>1934</v>
      </c>
      <c r="D157" s="10">
        <v>1090267</v>
      </c>
      <c r="E157" s="10" t="s">
        <v>1935</v>
      </c>
      <c r="F157" s="10" t="s">
        <v>26</v>
      </c>
      <c r="G157" s="10" t="s">
        <v>231</v>
      </c>
      <c r="H157" s="29">
        <v>2500</v>
      </c>
    </row>
    <row r="158" spans="1:8" x14ac:dyDescent="0.3">
      <c r="A158" s="55">
        <v>46133</v>
      </c>
      <c r="B158" s="10" t="s">
        <v>0</v>
      </c>
      <c r="C158" s="10" t="s">
        <v>1159</v>
      </c>
      <c r="D158" s="10">
        <v>1090281</v>
      </c>
      <c r="E158" s="10" t="s">
        <v>1933</v>
      </c>
      <c r="F158" s="10" t="s">
        <v>26</v>
      </c>
      <c r="G158" s="10" t="s">
        <v>233</v>
      </c>
      <c r="H158" s="29">
        <v>2500</v>
      </c>
    </row>
    <row r="159" spans="1:8" x14ac:dyDescent="0.3">
      <c r="A159" s="55">
        <v>46133</v>
      </c>
      <c r="B159" s="10" t="s">
        <v>0</v>
      </c>
      <c r="C159" s="10" t="s">
        <v>1887</v>
      </c>
      <c r="D159" s="10">
        <v>1090302</v>
      </c>
      <c r="E159" s="10" t="s">
        <v>1888</v>
      </c>
      <c r="F159" s="10" t="s">
        <v>26</v>
      </c>
      <c r="G159" s="10" t="s">
        <v>561</v>
      </c>
      <c r="H159" s="29">
        <v>2500</v>
      </c>
    </row>
    <row r="160" spans="1:8" x14ac:dyDescent="0.3">
      <c r="A160" s="55">
        <v>46133</v>
      </c>
      <c r="B160" s="23" t="s">
        <v>9</v>
      </c>
      <c r="C160" s="23" t="s">
        <v>1936</v>
      </c>
      <c r="D160" s="23">
        <v>1090279</v>
      </c>
      <c r="E160" s="23" t="s">
        <v>1937</v>
      </c>
      <c r="F160" s="23" t="s">
        <v>26</v>
      </c>
      <c r="G160" s="23" t="s">
        <v>360</v>
      </c>
      <c r="H160" s="30">
        <v>29000</v>
      </c>
    </row>
    <row r="161" spans="1:8" x14ac:dyDescent="0.3">
      <c r="A161" s="55">
        <v>46133</v>
      </c>
      <c r="B161" s="23" t="s">
        <v>9</v>
      </c>
      <c r="C161" s="23" t="s">
        <v>871</v>
      </c>
      <c r="D161" s="23">
        <v>1090303</v>
      </c>
      <c r="E161" s="23" t="s">
        <v>1938</v>
      </c>
      <c r="F161" s="23" t="s">
        <v>60</v>
      </c>
      <c r="G161" s="23" t="s">
        <v>65</v>
      </c>
      <c r="H161" s="30">
        <v>9000</v>
      </c>
    </row>
    <row r="162" spans="1:8" x14ac:dyDescent="0.3">
      <c r="A162" s="55">
        <v>46133</v>
      </c>
      <c r="B162" s="23" t="s">
        <v>9</v>
      </c>
      <c r="C162" s="23" t="s">
        <v>1427</v>
      </c>
      <c r="D162" s="23">
        <v>1090240</v>
      </c>
      <c r="E162" s="23" t="s">
        <v>1939</v>
      </c>
      <c r="F162" s="23" t="s">
        <v>44</v>
      </c>
      <c r="G162" s="23" t="s">
        <v>65</v>
      </c>
      <c r="H162" s="30">
        <v>8000</v>
      </c>
    </row>
    <row r="163" spans="1:8" x14ac:dyDescent="0.3">
      <c r="A163" s="55">
        <v>46133</v>
      </c>
      <c r="B163" s="23" t="s">
        <v>9</v>
      </c>
      <c r="C163" s="23" t="s">
        <v>1212</v>
      </c>
      <c r="D163" s="23">
        <v>1090236</v>
      </c>
      <c r="E163" s="23" t="s">
        <v>1940</v>
      </c>
      <c r="F163" s="23" t="s">
        <v>60</v>
      </c>
      <c r="G163" s="23" t="s">
        <v>270</v>
      </c>
      <c r="H163" s="30">
        <v>32000</v>
      </c>
    </row>
    <row r="164" spans="1:8" x14ac:dyDescent="0.3">
      <c r="A164" s="55">
        <v>46133</v>
      </c>
      <c r="B164" s="23" t="s">
        <v>9</v>
      </c>
      <c r="C164" s="23" t="s">
        <v>580</v>
      </c>
      <c r="D164" s="23">
        <v>1090237</v>
      </c>
      <c r="E164" s="23" t="s">
        <v>1941</v>
      </c>
      <c r="F164" s="23" t="s">
        <v>201</v>
      </c>
      <c r="G164" s="23" t="s">
        <v>39</v>
      </c>
      <c r="H164" s="30">
        <v>21000</v>
      </c>
    </row>
    <row r="165" spans="1:8" x14ac:dyDescent="0.3">
      <c r="A165" s="55">
        <v>46133</v>
      </c>
      <c r="B165" s="23" t="s">
        <v>9</v>
      </c>
      <c r="C165" s="23" t="s">
        <v>297</v>
      </c>
      <c r="D165" s="23">
        <v>1090283</v>
      </c>
      <c r="E165" s="23" t="s">
        <v>1942</v>
      </c>
      <c r="F165" s="23" t="s">
        <v>160</v>
      </c>
      <c r="G165" s="23" t="s">
        <v>84</v>
      </c>
      <c r="H165" s="30">
        <v>18000</v>
      </c>
    </row>
    <row r="166" spans="1:8" x14ac:dyDescent="0.3">
      <c r="A166" s="55">
        <v>46133</v>
      </c>
      <c r="B166" s="23" t="s">
        <v>9</v>
      </c>
      <c r="C166" s="23" t="s">
        <v>1943</v>
      </c>
      <c r="D166" s="23">
        <v>1090294</v>
      </c>
      <c r="E166" s="23" t="s">
        <v>1944</v>
      </c>
      <c r="F166" s="23" t="s">
        <v>26</v>
      </c>
      <c r="G166" s="23" t="s">
        <v>1342</v>
      </c>
      <c r="H166" s="30">
        <v>5000</v>
      </c>
    </row>
    <row r="167" spans="1:8" x14ac:dyDescent="0.3">
      <c r="A167" s="55">
        <v>46133</v>
      </c>
      <c r="B167" s="23" t="s">
        <v>9</v>
      </c>
      <c r="C167" s="23" t="s">
        <v>1943</v>
      </c>
      <c r="D167" s="23">
        <v>1090294</v>
      </c>
      <c r="E167" s="23" t="s">
        <v>1944</v>
      </c>
      <c r="F167" s="23" t="s">
        <v>26</v>
      </c>
      <c r="G167" s="23" t="s">
        <v>555</v>
      </c>
      <c r="H167" s="30">
        <v>2500</v>
      </c>
    </row>
    <row r="168" spans="1:8" x14ac:dyDescent="0.3">
      <c r="A168" s="55">
        <v>46133</v>
      </c>
      <c r="B168" s="23" t="s">
        <v>9</v>
      </c>
      <c r="C168" s="23" t="s">
        <v>1943</v>
      </c>
      <c r="D168" s="23">
        <v>1090294</v>
      </c>
      <c r="E168" s="23" t="s">
        <v>1944</v>
      </c>
      <c r="F168" s="23" t="s">
        <v>26</v>
      </c>
      <c r="G168" s="23" t="s">
        <v>226</v>
      </c>
      <c r="H168" s="30">
        <v>2500</v>
      </c>
    </row>
    <row r="169" spans="1:8" x14ac:dyDescent="0.3">
      <c r="A169" s="55">
        <v>46133</v>
      </c>
      <c r="B169" s="23" t="s">
        <v>9</v>
      </c>
      <c r="C169" s="23" t="s">
        <v>1945</v>
      </c>
      <c r="D169" s="23">
        <v>1090269</v>
      </c>
      <c r="E169" s="23" t="s">
        <v>1946</v>
      </c>
      <c r="F169" s="23" t="s">
        <v>26</v>
      </c>
      <c r="G169" s="23" t="s">
        <v>184</v>
      </c>
      <c r="H169" s="30">
        <v>2500</v>
      </c>
    </row>
    <row r="170" spans="1:8" x14ac:dyDescent="0.3">
      <c r="A170" s="55">
        <v>46133</v>
      </c>
      <c r="B170" s="23" t="s">
        <v>9</v>
      </c>
      <c r="C170" s="23" t="s">
        <v>1945</v>
      </c>
      <c r="D170" s="23">
        <v>1090270</v>
      </c>
      <c r="E170" s="23" t="s">
        <v>1947</v>
      </c>
      <c r="F170" s="23" t="s">
        <v>26</v>
      </c>
      <c r="G170" s="23" t="s">
        <v>184</v>
      </c>
      <c r="H170" s="30">
        <v>2500</v>
      </c>
    </row>
    <row r="171" spans="1:8" x14ac:dyDescent="0.3">
      <c r="A171" s="55">
        <v>46133</v>
      </c>
      <c r="B171" s="23" t="s">
        <v>9</v>
      </c>
      <c r="C171" s="23" t="s">
        <v>1945</v>
      </c>
      <c r="D171" s="23">
        <v>1090263</v>
      </c>
      <c r="E171" s="23" t="s">
        <v>1948</v>
      </c>
      <c r="F171" s="23" t="s">
        <v>26</v>
      </c>
      <c r="G171" s="23" t="s">
        <v>184</v>
      </c>
      <c r="H171" s="30">
        <v>2500</v>
      </c>
    </row>
    <row r="172" spans="1:8" x14ac:dyDescent="0.3">
      <c r="A172" s="55">
        <v>46133</v>
      </c>
      <c r="B172" t="s">
        <v>185</v>
      </c>
      <c r="C172" t="s">
        <v>1949</v>
      </c>
      <c r="D172">
        <v>1090243</v>
      </c>
      <c r="E172" t="s">
        <v>1950</v>
      </c>
      <c r="F172" t="s">
        <v>26</v>
      </c>
      <c r="G172" t="s">
        <v>1110</v>
      </c>
      <c r="H172" s="31">
        <v>6000</v>
      </c>
    </row>
    <row r="173" spans="1:8" x14ac:dyDescent="0.3">
      <c r="A173" s="55">
        <v>46133</v>
      </c>
      <c r="B173" t="s">
        <v>185</v>
      </c>
      <c r="C173" t="s">
        <v>205</v>
      </c>
      <c r="D173">
        <v>1090285</v>
      </c>
      <c r="E173" t="s">
        <v>1951</v>
      </c>
      <c r="F173" t="s">
        <v>26</v>
      </c>
      <c r="G173" t="s">
        <v>71</v>
      </c>
      <c r="H173" s="31">
        <v>6500</v>
      </c>
    </row>
    <row r="174" spans="1:8" x14ac:dyDescent="0.3">
      <c r="A174" s="55">
        <v>46133</v>
      </c>
      <c r="B174" t="s">
        <v>185</v>
      </c>
      <c r="C174" t="s">
        <v>186</v>
      </c>
      <c r="D174">
        <v>1090286</v>
      </c>
      <c r="E174" t="s">
        <v>1952</v>
      </c>
      <c r="F174" t="s">
        <v>34</v>
      </c>
      <c r="G174" t="s">
        <v>394</v>
      </c>
      <c r="H174" s="31">
        <v>36000</v>
      </c>
    </row>
    <row r="175" spans="1:8" x14ac:dyDescent="0.3">
      <c r="A175" s="55">
        <v>46133</v>
      </c>
      <c r="B175" t="s">
        <v>185</v>
      </c>
      <c r="C175" t="s">
        <v>1953</v>
      </c>
      <c r="D175">
        <v>1090274</v>
      </c>
      <c r="E175" t="s">
        <v>1954</v>
      </c>
      <c r="F175" t="s">
        <v>64</v>
      </c>
      <c r="G175" t="s">
        <v>39</v>
      </c>
      <c r="H175" s="31">
        <v>18000</v>
      </c>
    </row>
    <row r="176" spans="1:8" x14ac:dyDescent="0.3">
      <c r="A176" s="55">
        <v>46133</v>
      </c>
      <c r="B176" t="s">
        <v>185</v>
      </c>
      <c r="C176" t="s">
        <v>487</v>
      </c>
      <c r="D176">
        <v>1090266</v>
      </c>
      <c r="E176" t="s">
        <v>1955</v>
      </c>
      <c r="F176" t="s">
        <v>60</v>
      </c>
      <c r="G176" t="s">
        <v>39</v>
      </c>
      <c r="H176" s="31">
        <v>18000</v>
      </c>
    </row>
    <row r="177" spans="1:8" x14ac:dyDescent="0.3">
      <c r="A177" s="55">
        <v>46133</v>
      </c>
      <c r="B177" t="s">
        <v>185</v>
      </c>
      <c r="C177" t="s">
        <v>1846</v>
      </c>
      <c r="D177">
        <v>1090241</v>
      </c>
      <c r="E177" t="s">
        <v>1847</v>
      </c>
      <c r="F177" t="s">
        <v>26</v>
      </c>
      <c r="G177" t="s">
        <v>195</v>
      </c>
      <c r="H177" s="31">
        <v>1000</v>
      </c>
    </row>
    <row r="178" spans="1:8" x14ac:dyDescent="0.3">
      <c r="A178" s="55">
        <v>46133</v>
      </c>
      <c r="B178" t="s">
        <v>185</v>
      </c>
      <c r="C178" t="s">
        <v>205</v>
      </c>
      <c r="D178">
        <v>1090261</v>
      </c>
      <c r="E178" t="s">
        <v>1956</v>
      </c>
      <c r="F178" t="s">
        <v>26</v>
      </c>
      <c r="G178" t="s">
        <v>124</v>
      </c>
      <c r="H178" s="31">
        <v>3000</v>
      </c>
    </row>
    <row r="179" spans="1:8" x14ac:dyDescent="0.3">
      <c r="A179" s="55">
        <v>46133</v>
      </c>
      <c r="B179" t="s">
        <v>185</v>
      </c>
      <c r="C179" t="s">
        <v>205</v>
      </c>
      <c r="D179">
        <v>1090244</v>
      </c>
      <c r="E179" t="s">
        <v>339</v>
      </c>
      <c r="F179" t="s">
        <v>26</v>
      </c>
      <c r="G179" t="s">
        <v>124</v>
      </c>
      <c r="H179" s="31">
        <v>3000</v>
      </c>
    </row>
    <row r="180" spans="1:8" x14ac:dyDescent="0.3">
      <c r="A180" s="55">
        <v>46133</v>
      </c>
      <c r="B180" t="s">
        <v>185</v>
      </c>
      <c r="C180" t="s">
        <v>189</v>
      </c>
      <c r="D180">
        <v>1090282</v>
      </c>
      <c r="E180" t="s">
        <v>1957</v>
      </c>
      <c r="F180" t="s">
        <v>26</v>
      </c>
      <c r="G180" t="s">
        <v>129</v>
      </c>
      <c r="H180" s="31">
        <v>3000</v>
      </c>
    </row>
    <row r="181" spans="1:8" x14ac:dyDescent="0.3">
      <c r="A181" s="55">
        <v>46133</v>
      </c>
      <c r="B181" t="s">
        <v>185</v>
      </c>
      <c r="C181" t="s">
        <v>295</v>
      </c>
      <c r="D181">
        <v>1090301</v>
      </c>
      <c r="E181" t="s">
        <v>1958</v>
      </c>
      <c r="F181" t="s">
        <v>160</v>
      </c>
      <c r="G181" t="s">
        <v>373</v>
      </c>
      <c r="H181" s="31">
        <v>4000</v>
      </c>
    </row>
    <row r="182" spans="1:8" x14ac:dyDescent="0.3">
      <c r="A182" s="55">
        <v>46133</v>
      </c>
      <c r="B182" t="s">
        <v>185</v>
      </c>
      <c r="C182" t="s">
        <v>208</v>
      </c>
      <c r="D182">
        <v>1090306</v>
      </c>
      <c r="E182" t="s">
        <v>1959</v>
      </c>
      <c r="F182" t="s">
        <v>210</v>
      </c>
      <c r="G182" t="s">
        <v>141</v>
      </c>
      <c r="H182" s="31">
        <v>4000</v>
      </c>
    </row>
    <row r="183" spans="1:8" x14ac:dyDescent="0.3">
      <c r="A183" s="55">
        <v>46133</v>
      </c>
      <c r="B183" t="s">
        <v>185</v>
      </c>
      <c r="C183" t="s">
        <v>186</v>
      </c>
      <c r="D183">
        <v>1090276</v>
      </c>
      <c r="E183" t="s">
        <v>1960</v>
      </c>
      <c r="F183" t="s">
        <v>201</v>
      </c>
      <c r="G183" t="s">
        <v>141</v>
      </c>
      <c r="H183" s="31">
        <v>2500</v>
      </c>
    </row>
    <row r="184" spans="1:8" x14ac:dyDescent="0.3">
      <c r="A184" s="55">
        <v>46133</v>
      </c>
      <c r="B184" t="s">
        <v>185</v>
      </c>
      <c r="C184" t="s">
        <v>208</v>
      </c>
      <c r="D184">
        <v>1090305</v>
      </c>
      <c r="E184" t="s">
        <v>1961</v>
      </c>
      <c r="F184" t="s">
        <v>210</v>
      </c>
      <c r="G184" t="s">
        <v>222</v>
      </c>
      <c r="H184" s="31">
        <v>2000</v>
      </c>
    </row>
    <row r="185" spans="1:8" x14ac:dyDescent="0.3">
      <c r="A185" s="55">
        <v>46133</v>
      </c>
      <c r="B185" t="s">
        <v>185</v>
      </c>
      <c r="C185" t="s">
        <v>208</v>
      </c>
      <c r="D185">
        <v>1090308</v>
      </c>
      <c r="E185" t="s">
        <v>1326</v>
      </c>
      <c r="F185" t="s">
        <v>210</v>
      </c>
      <c r="G185" t="s">
        <v>229</v>
      </c>
      <c r="H185" s="31">
        <v>2000</v>
      </c>
    </row>
    <row r="186" spans="1:8" x14ac:dyDescent="0.3">
      <c r="A186" s="55">
        <v>46133</v>
      </c>
      <c r="B186" t="s">
        <v>185</v>
      </c>
      <c r="C186" t="s">
        <v>208</v>
      </c>
      <c r="D186">
        <v>1090307</v>
      </c>
      <c r="E186" t="s">
        <v>1962</v>
      </c>
      <c r="F186" t="s">
        <v>210</v>
      </c>
      <c r="G186" t="s">
        <v>233</v>
      </c>
      <c r="H186" s="31">
        <v>2500</v>
      </c>
    </row>
    <row r="187" spans="1:8" x14ac:dyDescent="0.3">
      <c r="A187" s="55">
        <v>46133</v>
      </c>
      <c r="B187" t="s">
        <v>185</v>
      </c>
      <c r="C187" t="s">
        <v>487</v>
      </c>
      <c r="D187">
        <v>1090309</v>
      </c>
      <c r="E187" t="s">
        <v>1963</v>
      </c>
      <c r="F187" t="s">
        <v>210</v>
      </c>
      <c r="G187" t="s">
        <v>237</v>
      </c>
      <c r="H187" s="31">
        <v>2000</v>
      </c>
    </row>
    <row r="188" spans="1:8" x14ac:dyDescent="0.3">
      <c r="A188" s="55">
        <v>46134</v>
      </c>
      <c r="B188" s="18" t="s">
        <v>11</v>
      </c>
      <c r="C188" s="18" t="s">
        <v>1964</v>
      </c>
      <c r="D188" s="18">
        <v>1090354</v>
      </c>
      <c r="E188" s="18" t="s">
        <v>1965</v>
      </c>
      <c r="F188" s="18" t="s">
        <v>1864</v>
      </c>
      <c r="G188" s="18" t="s">
        <v>499</v>
      </c>
      <c r="H188" s="27">
        <v>18000</v>
      </c>
    </row>
    <row r="189" spans="1:8" x14ac:dyDescent="0.3">
      <c r="A189" s="55">
        <v>46134</v>
      </c>
      <c r="B189" s="18" t="s">
        <v>11</v>
      </c>
      <c r="C189" s="18" t="s">
        <v>1588</v>
      </c>
      <c r="D189" s="18">
        <v>1090357</v>
      </c>
      <c r="E189" s="18" t="s">
        <v>1966</v>
      </c>
      <c r="F189" s="18" t="s">
        <v>26</v>
      </c>
      <c r="G189" s="18" t="s">
        <v>54</v>
      </c>
      <c r="H189" s="27">
        <v>14000</v>
      </c>
    </row>
    <row r="190" spans="1:8" x14ac:dyDescent="0.3">
      <c r="A190" s="55">
        <v>46134</v>
      </c>
      <c r="B190" s="18" t="s">
        <v>11</v>
      </c>
      <c r="C190" s="18" t="s">
        <v>1967</v>
      </c>
      <c r="D190" s="18">
        <v>1090340</v>
      </c>
      <c r="E190" s="18" t="s">
        <v>1968</v>
      </c>
      <c r="F190" s="18" t="s">
        <v>26</v>
      </c>
      <c r="G190" s="18" t="s">
        <v>259</v>
      </c>
      <c r="H190" s="27">
        <v>12000</v>
      </c>
    </row>
    <row r="191" spans="1:8" x14ac:dyDescent="0.3">
      <c r="A191" s="55">
        <v>46134</v>
      </c>
      <c r="B191" s="18" t="s">
        <v>11</v>
      </c>
      <c r="C191" s="18" t="s">
        <v>1969</v>
      </c>
      <c r="D191" s="18">
        <v>1090350</v>
      </c>
      <c r="E191" s="18" t="s">
        <v>1970</v>
      </c>
      <c r="F191" s="18" t="s">
        <v>26</v>
      </c>
      <c r="G191" s="18" t="s">
        <v>31</v>
      </c>
      <c r="H191" s="27">
        <v>7500</v>
      </c>
    </row>
    <row r="192" spans="1:8" x14ac:dyDescent="0.3">
      <c r="A192" s="55">
        <v>46134</v>
      </c>
      <c r="B192" s="18" t="s">
        <v>11</v>
      </c>
      <c r="C192" s="18" t="s">
        <v>1254</v>
      </c>
      <c r="D192" s="18">
        <v>1090383</v>
      </c>
      <c r="E192" s="18" t="s">
        <v>1971</v>
      </c>
      <c r="F192" s="18" t="s">
        <v>26</v>
      </c>
      <c r="G192" s="18" t="s">
        <v>1972</v>
      </c>
      <c r="H192" s="27">
        <v>30000</v>
      </c>
    </row>
    <row r="193" spans="1:8" x14ac:dyDescent="0.3">
      <c r="A193" s="55">
        <v>46134</v>
      </c>
      <c r="B193" s="18" t="s">
        <v>11</v>
      </c>
      <c r="C193" s="18" t="s">
        <v>1477</v>
      </c>
      <c r="D193" s="18">
        <v>1090311</v>
      </c>
      <c r="E193" s="18" t="s">
        <v>1973</v>
      </c>
      <c r="F193" s="18" t="s">
        <v>38</v>
      </c>
      <c r="G193" s="18" t="s">
        <v>39</v>
      </c>
      <c r="H193" s="27">
        <v>21100</v>
      </c>
    </row>
    <row r="194" spans="1:8" x14ac:dyDescent="0.3">
      <c r="A194" s="55">
        <v>46134</v>
      </c>
      <c r="B194" s="18" t="s">
        <v>11</v>
      </c>
      <c r="C194" s="18" t="s">
        <v>1974</v>
      </c>
      <c r="D194" s="18">
        <v>1090338</v>
      </c>
      <c r="E194" s="18" t="s">
        <v>1975</v>
      </c>
      <c r="F194" s="18" t="s">
        <v>79</v>
      </c>
      <c r="G194" s="18" t="s">
        <v>39</v>
      </c>
      <c r="H194" s="27">
        <v>22000</v>
      </c>
    </row>
    <row r="195" spans="1:8" x14ac:dyDescent="0.3">
      <c r="A195" s="55">
        <v>46134</v>
      </c>
      <c r="B195" s="18" t="s">
        <v>11</v>
      </c>
      <c r="C195" s="18" t="s">
        <v>1588</v>
      </c>
      <c r="D195" s="18">
        <v>1090357</v>
      </c>
      <c r="E195" s="18" t="s">
        <v>1966</v>
      </c>
      <c r="F195" s="18" t="s">
        <v>26</v>
      </c>
      <c r="G195" s="18" t="s">
        <v>84</v>
      </c>
      <c r="H195" s="27">
        <v>20000</v>
      </c>
    </row>
    <row r="196" spans="1:8" x14ac:dyDescent="0.3">
      <c r="A196" s="55">
        <v>46134</v>
      </c>
      <c r="B196" s="18" t="s">
        <v>11</v>
      </c>
      <c r="C196" s="18" t="s">
        <v>1588</v>
      </c>
      <c r="D196" s="18">
        <v>1090357</v>
      </c>
      <c r="E196" s="18" t="s">
        <v>1966</v>
      </c>
      <c r="F196" s="18" t="s">
        <v>26</v>
      </c>
      <c r="G196" s="18" t="s">
        <v>45</v>
      </c>
      <c r="H196" s="27">
        <v>25000</v>
      </c>
    </row>
    <row r="197" spans="1:8" x14ac:dyDescent="0.3">
      <c r="A197" s="55">
        <v>46134</v>
      </c>
      <c r="B197" s="18" t="s">
        <v>11</v>
      </c>
      <c r="C197" s="18" t="s">
        <v>1588</v>
      </c>
      <c r="D197" s="18">
        <v>1090357</v>
      </c>
      <c r="E197" s="18" t="s">
        <v>1966</v>
      </c>
      <c r="F197" s="18" t="s">
        <v>26</v>
      </c>
      <c r="G197" s="18" t="s">
        <v>793</v>
      </c>
      <c r="H197" s="27">
        <v>20000</v>
      </c>
    </row>
    <row r="198" spans="1:8" x14ac:dyDescent="0.3">
      <c r="A198" s="55">
        <v>46134</v>
      </c>
      <c r="B198" s="18" t="s">
        <v>11</v>
      </c>
      <c r="C198" s="18" t="s">
        <v>1976</v>
      </c>
      <c r="D198" s="18">
        <v>1090353</v>
      </c>
      <c r="E198" s="18" t="s">
        <v>1977</v>
      </c>
      <c r="F198" s="18" t="s">
        <v>26</v>
      </c>
      <c r="G198" s="18" t="s">
        <v>45</v>
      </c>
      <c r="H198" s="27">
        <v>25000</v>
      </c>
    </row>
    <row r="199" spans="1:8" x14ac:dyDescent="0.3">
      <c r="A199" s="55">
        <v>46134</v>
      </c>
      <c r="B199" s="18" t="s">
        <v>11</v>
      </c>
      <c r="C199" s="18" t="s">
        <v>1967</v>
      </c>
      <c r="D199" s="18">
        <v>1090334</v>
      </c>
      <c r="E199" s="18" t="s">
        <v>1968</v>
      </c>
      <c r="F199" s="18" t="s">
        <v>26</v>
      </c>
      <c r="G199" s="18" t="s">
        <v>141</v>
      </c>
      <c r="H199" s="27">
        <v>5000</v>
      </c>
    </row>
    <row r="200" spans="1:8" x14ac:dyDescent="0.3">
      <c r="A200" s="55">
        <v>46134</v>
      </c>
      <c r="B200" s="10" t="s">
        <v>0</v>
      </c>
      <c r="C200" s="10" t="s">
        <v>271</v>
      </c>
      <c r="D200" s="10">
        <v>1090352</v>
      </c>
      <c r="E200" s="10" t="s">
        <v>1978</v>
      </c>
      <c r="F200" s="10" t="s">
        <v>160</v>
      </c>
      <c r="G200" s="10" t="s">
        <v>48</v>
      </c>
      <c r="H200" s="29">
        <v>2500</v>
      </c>
    </row>
    <row r="201" spans="1:8" x14ac:dyDescent="0.3">
      <c r="A201" s="55">
        <v>46134</v>
      </c>
      <c r="B201" s="10" t="s">
        <v>0</v>
      </c>
      <c r="C201" s="10" t="s">
        <v>1979</v>
      </c>
      <c r="D201" s="10">
        <v>1090387</v>
      </c>
      <c r="E201" s="10" t="s">
        <v>1980</v>
      </c>
      <c r="F201" s="10" t="s">
        <v>26</v>
      </c>
      <c r="G201" s="10" t="s">
        <v>465</v>
      </c>
      <c r="H201" s="29">
        <v>14000</v>
      </c>
    </row>
    <row r="202" spans="1:8" x14ac:dyDescent="0.3">
      <c r="A202" s="55">
        <v>46134</v>
      </c>
      <c r="B202" s="10" t="s">
        <v>0</v>
      </c>
      <c r="C202" s="10" t="s">
        <v>1981</v>
      </c>
      <c r="D202" s="10">
        <v>1090351</v>
      </c>
      <c r="E202" s="10" t="s">
        <v>1982</v>
      </c>
      <c r="F202" s="10" t="s">
        <v>26</v>
      </c>
      <c r="G202" s="10" t="s">
        <v>360</v>
      </c>
      <c r="H202" s="29">
        <v>29000</v>
      </c>
    </row>
    <row r="203" spans="1:8" x14ac:dyDescent="0.3">
      <c r="A203" s="55">
        <v>46134</v>
      </c>
      <c r="B203" s="10" t="s">
        <v>0</v>
      </c>
      <c r="C203" s="10" t="s">
        <v>1983</v>
      </c>
      <c r="D203" s="10">
        <v>1090329</v>
      </c>
      <c r="E203" s="10" t="s">
        <v>1984</v>
      </c>
      <c r="F203" s="10" t="s">
        <v>26</v>
      </c>
      <c r="G203" s="10" t="s">
        <v>51</v>
      </c>
      <c r="H203" s="29">
        <v>15000</v>
      </c>
    </row>
    <row r="204" spans="1:8" x14ac:dyDescent="0.3">
      <c r="A204" s="55">
        <v>46134</v>
      </c>
      <c r="B204" s="10" t="s">
        <v>0</v>
      </c>
      <c r="C204" s="10" t="s">
        <v>1985</v>
      </c>
      <c r="D204" s="10">
        <v>1090355</v>
      </c>
      <c r="E204" s="10" t="s">
        <v>1986</v>
      </c>
      <c r="F204" s="10" t="s">
        <v>26</v>
      </c>
      <c r="G204" s="10" t="s">
        <v>51</v>
      </c>
      <c r="H204" s="29">
        <v>15000</v>
      </c>
    </row>
    <row r="205" spans="1:8" x14ac:dyDescent="0.3">
      <c r="A205" s="55">
        <v>46134</v>
      </c>
      <c r="B205" s="10" t="s">
        <v>0</v>
      </c>
      <c r="C205" s="10" t="s">
        <v>1616</v>
      </c>
      <c r="D205" s="10">
        <v>1090366</v>
      </c>
      <c r="E205" s="10" t="s">
        <v>1987</v>
      </c>
      <c r="F205" s="10" t="s">
        <v>160</v>
      </c>
      <c r="G205" s="10" t="s">
        <v>27</v>
      </c>
      <c r="H205" s="29">
        <v>10000</v>
      </c>
    </row>
    <row r="206" spans="1:8" x14ac:dyDescent="0.3">
      <c r="A206" s="55">
        <v>46134</v>
      </c>
      <c r="B206" s="10" t="s">
        <v>0</v>
      </c>
      <c r="C206" s="10" t="s">
        <v>644</v>
      </c>
      <c r="D206" s="10">
        <v>1090377</v>
      </c>
      <c r="E206" s="10" t="s">
        <v>1988</v>
      </c>
      <c r="F206" s="10" t="s">
        <v>38</v>
      </c>
      <c r="G206" s="10" t="s">
        <v>27</v>
      </c>
      <c r="H206" s="29">
        <v>10000</v>
      </c>
    </row>
    <row r="207" spans="1:8" x14ac:dyDescent="0.3">
      <c r="A207" s="55">
        <v>46134</v>
      </c>
      <c r="B207" s="10" t="s">
        <v>0</v>
      </c>
      <c r="C207" s="10" t="s">
        <v>1420</v>
      </c>
      <c r="D207" s="10">
        <v>1090382</v>
      </c>
      <c r="E207" s="10" t="s">
        <v>1989</v>
      </c>
      <c r="F207" s="10" t="s">
        <v>26</v>
      </c>
      <c r="G207" s="10" t="s">
        <v>27</v>
      </c>
      <c r="H207" s="29">
        <v>12000</v>
      </c>
    </row>
    <row r="208" spans="1:8" x14ac:dyDescent="0.3">
      <c r="A208" s="55">
        <v>46134</v>
      </c>
      <c r="B208" s="10" t="s">
        <v>0</v>
      </c>
      <c r="C208" s="10" t="s">
        <v>1281</v>
      </c>
      <c r="D208" s="10">
        <v>1090339</v>
      </c>
      <c r="E208" s="10" t="s">
        <v>1990</v>
      </c>
      <c r="F208" s="10" t="s">
        <v>26</v>
      </c>
      <c r="G208" s="10" t="s">
        <v>65</v>
      </c>
      <c r="H208" s="29">
        <v>12000</v>
      </c>
    </row>
    <row r="209" spans="1:8" x14ac:dyDescent="0.3">
      <c r="A209" s="55">
        <v>46134</v>
      </c>
      <c r="B209" s="10" t="s">
        <v>0</v>
      </c>
      <c r="C209" s="10" t="s">
        <v>69</v>
      </c>
      <c r="D209" s="10">
        <v>1090375</v>
      </c>
      <c r="E209" s="10" t="s">
        <v>1991</v>
      </c>
      <c r="F209" s="10" t="s">
        <v>26</v>
      </c>
      <c r="G209" s="10" t="s">
        <v>71</v>
      </c>
      <c r="H209" s="29">
        <v>6500</v>
      </c>
    </row>
    <row r="210" spans="1:8" x14ac:dyDescent="0.3">
      <c r="A210" s="55">
        <v>46134</v>
      </c>
      <c r="B210" s="10" t="s">
        <v>0</v>
      </c>
      <c r="C210" s="10" t="s">
        <v>1992</v>
      </c>
      <c r="D210" s="10">
        <v>1090332</v>
      </c>
      <c r="E210" s="10" t="s">
        <v>1993</v>
      </c>
      <c r="F210" s="10" t="s">
        <v>26</v>
      </c>
      <c r="G210" s="10" t="s">
        <v>31</v>
      </c>
      <c r="H210" s="29">
        <v>7500</v>
      </c>
    </row>
    <row r="211" spans="1:8" x14ac:dyDescent="0.3">
      <c r="A211" s="55">
        <v>46134</v>
      </c>
      <c r="B211" s="10" t="s">
        <v>0</v>
      </c>
      <c r="C211" s="10" t="s">
        <v>1994</v>
      </c>
      <c r="D211" s="10">
        <v>1090317</v>
      </c>
      <c r="E211" s="10" t="s">
        <v>1995</v>
      </c>
      <c r="F211" s="10" t="s">
        <v>34</v>
      </c>
      <c r="G211" s="10" t="s">
        <v>270</v>
      </c>
      <c r="H211" s="29">
        <v>25000</v>
      </c>
    </row>
    <row r="212" spans="1:8" x14ac:dyDescent="0.3">
      <c r="A212" s="55">
        <v>46134</v>
      </c>
      <c r="B212" s="10" t="s">
        <v>0</v>
      </c>
      <c r="C212" s="10" t="s">
        <v>1996</v>
      </c>
      <c r="D212" s="10">
        <v>1090386</v>
      </c>
      <c r="E212" s="10" t="s">
        <v>1997</v>
      </c>
      <c r="F212" s="10" t="s">
        <v>60</v>
      </c>
      <c r="G212" s="10" t="s">
        <v>74</v>
      </c>
      <c r="H212" s="29">
        <v>18000</v>
      </c>
    </row>
    <row r="213" spans="1:8" x14ac:dyDescent="0.3">
      <c r="A213" s="55">
        <v>46134</v>
      </c>
      <c r="B213" s="10" t="s">
        <v>0</v>
      </c>
      <c r="C213" s="10" t="s">
        <v>1998</v>
      </c>
      <c r="D213" s="10">
        <v>1090348</v>
      </c>
      <c r="E213" s="10" t="s">
        <v>1999</v>
      </c>
      <c r="F213" s="10" t="s">
        <v>26</v>
      </c>
      <c r="G213" s="10" t="s">
        <v>74</v>
      </c>
      <c r="H213" s="29">
        <v>20000</v>
      </c>
    </row>
    <row r="214" spans="1:8" x14ac:dyDescent="0.3">
      <c r="A214" s="55">
        <v>46134</v>
      </c>
      <c r="B214" s="10" t="s">
        <v>0</v>
      </c>
      <c r="C214" s="10" t="s">
        <v>2000</v>
      </c>
      <c r="D214" s="10">
        <v>1090312</v>
      </c>
      <c r="E214" s="10" t="s">
        <v>2001</v>
      </c>
      <c r="F214" s="10" t="s">
        <v>34</v>
      </c>
      <c r="G214" s="10" t="s">
        <v>416</v>
      </c>
      <c r="H214" s="29">
        <v>18000</v>
      </c>
    </row>
    <row r="215" spans="1:8" x14ac:dyDescent="0.3">
      <c r="A215" s="55">
        <v>46134</v>
      </c>
      <c r="B215" s="10" t="s">
        <v>0</v>
      </c>
      <c r="C215" s="10" t="s">
        <v>2000</v>
      </c>
      <c r="D215" s="10">
        <v>1090312</v>
      </c>
      <c r="E215" s="10" t="s">
        <v>2001</v>
      </c>
      <c r="F215" s="10" t="s">
        <v>34</v>
      </c>
      <c r="G215" s="10" t="s">
        <v>84</v>
      </c>
      <c r="H215" s="29">
        <v>18000</v>
      </c>
    </row>
    <row r="216" spans="1:8" x14ac:dyDescent="0.3">
      <c r="A216" s="55">
        <v>46134</v>
      </c>
      <c r="B216" s="10" t="s">
        <v>0</v>
      </c>
      <c r="C216" s="10" t="s">
        <v>295</v>
      </c>
      <c r="D216" s="10">
        <v>1090341</v>
      </c>
      <c r="E216" s="10" t="s">
        <v>2002</v>
      </c>
      <c r="F216" s="10" t="s">
        <v>34</v>
      </c>
      <c r="G216" s="10" t="s">
        <v>84</v>
      </c>
      <c r="H216" s="29">
        <v>18000</v>
      </c>
    </row>
    <row r="217" spans="1:8" x14ac:dyDescent="0.3">
      <c r="A217" s="55">
        <v>46134</v>
      </c>
      <c r="B217" s="10" t="s">
        <v>0</v>
      </c>
      <c r="C217" s="10" t="s">
        <v>559</v>
      </c>
      <c r="D217" s="10">
        <v>1090315</v>
      </c>
      <c r="E217" s="10" t="s">
        <v>2003</v>
      </c>
      <c r="F217" s="10" t="s">
        <v>26</v>
      </c>
      <c r="G217" s="10" t="s">
        <v>84</v>
      </c>
      <c r="H217" s="29">
        <v>20000</v>
      </c>
    </row>
    <row r="218" spans="1:8" x14ac:dyDescent="0.3">
      <c r="A218" s="55">
        <v>46134</v>
      </c>
      <c r="B218" s="10" t="s">
        <v>0</v>
      </c>
      <c r="C218" s="10" t="s">
        <v>90</v>
      </c>
      <c r="D218" s="10">
        <v>1090345</v>
      </c>
      <c r="E218" s="10" t="s">
        <v>2004</v>
      </c>
      <c r="F218" s="10" t="s">
        <v>26</v>
      </c>
      <c r="G218" s="10" t="s">
        <v>1446</v>
      </c>
      <c r="H218" s="29">
        <v>28000</v>
      </c>
    </row>
    <row r="219" spans="1:8" x14ac:dyDescent="0.3">
      <c r="A219" s="55">
        <v>46134</v>
      </c>
      <c r="B219" s="10" t="s">
        <v>0</v>
      </c>
      <c r="C219" s="10" t="s">
        <v>527</v>
      </c>
      <c r="D219" s="10">
        <v>1090370</v>
      </c>
      <c r="E219" s="10" t="s">
        <v>2005</v>
      </c>
      <c r="F219" s="10" t="s">
        <v>26</v>
      </c>
      <c r="G219" s="10" t="s">
        <v>104</v>
      </c>
      <c r="H219" s="29">
        <v>3000</v>
      </c>
    </row>
    <row r="220" spans="1:8" x14ac:dyDescent="0.3">
      <c r="A220" s="55">
        <v>46134</v>
      </c>
      <c r="B220" s="10" t="s">
        <v>0</v>
      </c>
      <c r="C220" s="10" t="s">
        <v>271</v>
      </c>
      <c r="D220" s="10">
        <v>1090314</v>
      </c>
      <c r="E220" s="10" t="s">
        <v>2006</v>
      </c>
      <c r="F220" s="10" t="s">
        <v>26</v>
      </c>
      <c r="G220" s="10" t="s">
        <v>104</v>
      </c>
      <c r="H220" s="29">
        <v>3000</v>
      </c>
    </row>
    <row r="221" spans="1:8" x14ac:dyDescent="0.3">
      <c r="A221" s="55">
        <v>46134</v>
      </c>
      <c r="B221" s="10" t="s">
        <v>0</v>
      </c>
      <c r="C221" s="10" t="s">
        <v>2007</v>
      </c>
      <c r="D221" s="10">
        <v>1090362</v>
      </c>
      <c r="E221" s="10" t="s">
        <v>2008</v>
      </c>
      <c r="F221" s="10" t="s">
        <v>26</v>
      </c>
      <c r="G221" s="10" t="s">
        <v>110</v>
      </c>
      <c r="H221" s="29">
        <v>6000</v>
      </c>
    </row>
    <row r="222" spans="1:8" x14ac:dyDescent="0.3">
      <c r="A222" s="55">
        <v>46134</v>
      </c>
      <c r="B222" s="10" t="s">
        <v>0</v>
      </c>
      <c r="C222" s="10" t="s">
        <v>2009</v>
      </c>
      <c r="D222" s="10">
        <v>1090343</v>
      </c>
      <c r="E222" s="10" t="s">
        <v>2010</v>
      </c>
      <c r="F222" s="10" t="s">
        <v>26</v>
      </c>
      <c r="G222" s="10" t="s">
        <v>337</v>
      </c>
      <c r="H222" s="29">
        <v>4000</v>
      </c>
    </row>
    <row r="223" spans="1:8" x14ac:dyDescent="0.3">
      <c r="A223" s="55">
        <v>46134</v>
      </c>
      <c r="B223" s="10" t="s">
        <v>0</v>
      </c>
      <c r="C223" s="10" t="s">
        <v>1175</v>
      </c>
      <c r="D223" s="10">
        <v>1090365</v>
      </c>
      <c r="E223" s="10" t="s">
        <v>2011</v>
      </c>
      <c r="F223" s="10" t="s">
        <v>26</v>
      </c>
      <c r="G223" s="10" t="s">
        <v>2012</v>
      </c>
      <c r="H223" s="29">
        <v>8000</v>
      </c>
    </row>
    <row r="224" spans="1:8" x14ac:dyDescent="0.3">
      <c r="A224" s="55">
        <v>46134</v>
      </c>
      <c r="B224" s="10" t="s">
        <v>0</v>
      </c>
      <c r="C224" s="10" t="s">
        <v>271</v>
      </c>
      <c r="D224" s="10">
        <v>1090352</v>
      </c>
      <c r="E224" s="10" t="s">
        <v>1978</v>
      </c>
      <c r="F224" s="10" t="s">
        <v>160</v>
      </c>
      <c r="G224" s="10" t="s">
        <v>119</v>
      </c>
      <c r="H224" s="29">
        <v>4000</v>
      </c>
    </row>
    <row r="225" spans="1:8" x14ac:dyDescent="0.3">
      <c r="A225" s="55">
        <v>46134</v>
      </c>
      <c r="B225" s="10" t="s">
        <v>0</v>
      </c>
      <c r="C225" s="10" t="s">
        <v>1055</v>
      </c>
      <c r="D225" s="10">
        <v>1090376</v>
      </c>
      <c r="E225" s="10" t="s">
        <v>2013</v>
      </c>
      <c r="F225" s="10" t="s">
        <v>26</v>
      </c>
      <c r="G225" s="10" t="s">
        <v>124</v>
      </c>
      <c r="H225" s="29">
        <v>3000</v>
      </c>
    </row>
    <row r="226" spans="1:8" x14ac:dyDescent="0.3">
      <c r="A226" s="55">
        <v>46134</v>
      </c>
      <c r="B226" s="10" t="s">
        <v>0</v>
      </c>
      <c r="C226" s="10" t="s">
        <v>1738</v>
      </c>
      <c r="D226" s="10">
        <v>1090349</v>
      </c>
      <c r="E226" s="10" t="s">
        <v>2014</v>
      </c>
      <c r="F226" s="10" t="s">
        <v>482</v>
      </c>
      <c r="G226" s="10" t="s">
        <v>124</v>
      </c>
      <c r="H226" s="29">
        <v>4000</v>
      </c>
    </row>
    <row r="227" spans="1:8" x14ac:dyDescent="0.3">
      <c r="A227" s="55">
        <v>46134</v>
      </c>
      <c r="B227" s="10" t="s">
        <v>0</v>
      </c>
      <c r="C227" s="10" t="s">
        <v>1404</v>
      </c>
      <c r="D227" s="10">
        <v>1090363</v>
      </c>
      <c r="E227" s="10" t="s">
        <v>2008</v>
      </c>
      <c r="F227" s="10" t="s">
        <v>26</v>
      </c>
      <c r="G227" s="10" t="s">
        <v>207</v>
      </c>
      <c r="H227" s="29">
        <v>3000</v>
      </c>
    </row>
    <row r="228" spans="1:8" x14ac:dyDescent="0.3">
      <c r="A228" s="55">
        <v>46134</v>
      </c>
      <c r="B228" s="10" t="s">
        <v>0</v>
      </c>
      <c r="C228" s="10" t="s">
        <v>694</v>
      </c>
      <c r="D228" s="10">
        <v>1090380</v>
      </c>
      <c r="E228" s="10" t="s">
        <v>2015</v>
      </c>
      <c r="F228" s="10" t="s">
        <v>201</v>
      </c>
      <c r="G228" s="10" t="s">
        <v>292</v>
      </c>
      <c r="H228" s="29">
        <v>4000</v>
      </c>
    </row>
    <row r="229" spans="1:8" x14ac:dyDescent="0.3">
      <c r="A229" s="55">
        <v>46134</v>
      </c>
      <c r="B229" s="10" t="s">
        <v>0</v>
      </c>
      <c r="C229" s="10" t="s">
        <v>1981</v>
      </c>
      <c r="D229" s="10">
        <v>1090378</v>
      </c>
      <c r="E229" s="10" t="s">
        <v>1982</v>
      </c>
      <c r="F229" s="10" t="s">
        <v>26</v>
      </c>
      <c r="G229" s="10" t="s">
        <v>2016</v>
      </c>
      <c r="H229" s="29">
        <v>4000</v>
      </c>
    </row>
    <row r="230" spans="1:8" x14ac:dyDescent="0.3">
      <c r="A230" s="55">
        <v>46134</v>
      </c>
      <c r="B230" s="10" t="s">
        <v>0</v>
      </c>
      <c r="C230" s="10" t="s">
        <v>135</v>
      </c>
      <c r="D230" s="10">
        <v>1090385</v>
      </c>
      <c r="E230" s="10" t="s">
        <v>2017</v>
      </c>
      <c r="F230" s="10" t="s">
        <v>26</v>
      </c>
      <c r="G230" s="10" t="s">
        <v>373</v>
      </c>
      <c r="H230" s="29">
        <v>5000</v>
      </c>
    </row>
    <row r="231" spans="1:8" x14ac:dyDescent="0.3">
      <c r="A231" s="55">
        <v>46134</v>
      </c>
      <c r="B231" s="10" t="s">
        <v>0</v>
      </c>
      <c r="C231" s="10" t="s">
        <v>135</v>
      </c>
      <c r="D231" s="10">
        <v>1090342</v>
      </c>
      <c r="E231" s="10" t="s">
        <v>2018</v>
      </c>
      <c r="F231" s="10" t="s">
        <v>26</v>
      </c>
      <c r="G231" s="10" t="s">
        <v>701</v>
      </c>
      <c r="H231" s="29">
        <v>5000</v>
      </c>
    </row>
    <row r="232" spans="1:8" x14ac:dyDescent="0.3">
      <c r="A232" s="55">
        <v>46134</v>
      </c>
      <c r="B232" s="10" t="s">
        <v>0</v>
      </c>
      <c r="C232" s="10" t="s">
        <v>135</v>
      </c>
      <c r="D232" s="10">
        <v>1090356</v>
      </c>
      <c r="E232" s="10" t="s">
        <v>2019</v>
      </c>
      <c r="F232" s="10" t="s">
        <v>26</v>
      </c>
      <c r="G232" s="10" t="s">
        <v>701</v>
      </c>
      <c r="H232" s="29">
        <v>5000</v>
      </c>
    </row>
    <row r="233" spans="1:8" x14ac:dyDescent="0.3">
      <c r="A233" s="55">
        <v>46134</v>
      </c>
      <c r="B233" s="10" t="s">
        <v>0</v>
      </c>
      <c r="C233" s="10" t="s">
        <v>135</v>
      </c>
      <c r="D233" s="10">
        <v>1090388</v>
      </c>
      <c r="E233" s="10" t="s">
        <v>2020</v>
      </c>
      <c r="F233" s="10" t="s">
        <v>26</v>
      </c>
      <c r="G233" s="10" t="s">
        <v>766</v>
      </c>
      <c r="H233" s="29">
        <v>2200</v>
      </c>
    </row>
    <row r="234" spans="1:8" x14ac:dyDescent="0.3">
      <c r="A234" s="55">
        <v>46134</v>
      </c>
      <c r="B234" s="10" t="s">
        <v>0</v>
      </c>
      <c r="C234" s="10" t="s">
        <v>135</v>
      </c>
      <c r="D234" s="10">
        <v>1090388</v>
      </c>
      <c r="E234" s="10" t="s">
        <v>2020</v>
      </c>
      <c r="F234" s="10" t="s">
        <v>26</v>
      </c>
      <c r="G234" s="10" t="s">
        <v>141</v>
      </c>
      <c r="H234" s="29">
        <v>5000</v>
      </c>
    </row>
    <row r="235" spans="1:8" x14ac:dyDescent="0.3">
      <c r="A235" s="55">
        <v>46134</v>
      </c>
      <c r="B235" s="10" t="s">
        <v>0</v>
      </c>
      <c r="C235" s="10" t="s">
        <v>135</v>
      </c>
      <c r="D235" s="10">
        <v>1090385</v>
      </c>
      <c r="E235" s="10" t="s">
        <v>2017</v>
      </c>
      <c r="F235" s="10" t="s">
        <v>26</v>
      </c>
      <c r="G235" s="10" t="s">
        <v>141</v>
      </c>
      <c r="H235" s="29">
        <v>5000</v>
      </c>
    </row>
    <row r="236" spans="1:8" x14ac:dyDescent="0.3">
      <c r="A236" s="55">
        <v>46134</v>
      </c>
      <c r="B236" s="10" t="s">
        <v>0</v>
      </c>
      <c r="C236" s="10" t="s">
        <v>135</v>
      </c>
      <c r="D236" s="10">
        <v>1090356</v>
      </c>
      <c r="E236" s="10" t="s">
        <v>2019</v>
      </c>
      <c r="F236" s="10" t="s">
        <v>26</v>
      </c>
      <c r="G236" s="10" t="s">
        <v>141</v>
      </c>
      <c r="H236" s="29">
        <v>5000</v>
      </c>
    </row>
    <row r="237" spans="1:8" x14ac:dyDescent="0.3">
      <c r="A237" s="55">
        <v>46134</v>
      </c>
      <c r="B237" s="10" t="s">
        <v>0</v>
      </c>
      <c r="C237" s="10" t="s">
        <v>135</v>
      </c>
      <c r="D237" s="10">
        <v>1090388</v>
      </c>
      <c r="E237" s="10" t="s">
        <v>2020</v>
      </c>
      <c r="F237" s="10" t="s">
        <v>26</v>
      </c>
      <c r="G237" s="10" t="s">
        <v>327</v>
      </c>
      <c r="H237" s="29">
        <v>5000</v>
      </c>
    </row>
    <row r="238" spans="1:8" x14ac:dyDescent="0.3">
      <c r="A238" s="55">
        <v>46134</v>
      </c>
      <c r="B238" s="10" t="s">
        <v>0</v>
      </c>
      <c r="C238" s="10" t="s">
        <v>2021</v>
      </c>
      <c r="D238" s="10">
        <v>1090330</v>
      </c>
      <c r="E238" s="10" t="s">
        <v>2022</v>
      </c>
      <c r="F238" s="10" t="s">
        <v>79</v>
      </c>
      <c r="G238" s="10" t="s">
        <v>555</v>
      </c>
      <c r="H238" s="29">
        <v>2500</v>
      </c>
    </row>
    <row r="239" spans="1:8" x14ac:dyDescent="0.3">
      <c r="A239" s="55">
        <v>46134</v>
      </c>
      <c r="B239" s="10" t="s">
        <v>0</v>
      </c>
      <c r="C239" s="10" t="s">
        <v>1994</v>
      </c>
      <c r="D239" s="10">
        <v>1090317</v>
      </c>
      <c r="E239" s="10" t="s">
        <v>1995</v>
      </c>
      <c r="F239" s="10" t="s">
        <v>34</v>
      </c>
      <c r="G239" s="10" t="s">
        <v>142</v>
      </c>
      <c r="H239" s="29">
        <v>1800</v>
      </c>
    </row>
    <row r="240" spans="1:8" x14ac:dyDescent="0.3">
      <c r="A240" s="55">
        <v>46134</v>
      </c>
      <c r="B240" s="10" t="s">
        <v>0</v>
      </c>
      <c r="C240" s="10" t="s">
        <v>117</v>
      </c>
      <c r="D240" s="10">
        <v>1090360</v>
      </c>
      <c r="E240" s="10" t="s">
        <v>2023</v>
      </c>
      <c r="F240" s="10" t="s">
        <v>26</v>
      </c>
      <c r="G240" s="10" t="s">
        <v>142</v>
      </c>
      <c r="H240" s="29">
        <v>2000</v>
      </c>
    </row>
    <row r="241" spans="1:8" x14ac:dyDescent="0.3">
      <c r="A241" s="55">
        <v>46134</v>
      </c>
      <c r="B241" s="10" t="s">
        <v>0</v>
      </c>
      <c r="C241" s="10" t="s">
        <v>1876</v>
      </c>
      <c r="D241" s="10">
        <v>1090379</v>
      </c>
      <c r="E241" s="10" t="s">
        <v>2024</v>
      </c>
      <c r="F241" s="10" t="s">
        <v>26</v>
      </c>
      <c r="G241" s="10" t="s">
        <v>142</v>
      </c>
      <c r="H241" s="29">
        <v>2000</v>
      </c>
    </row>
    <row r="242" spans="1:8" x14ac:dyDescent="0.3">
      <c r="A242" s="55">
        <v>46134</v>
      </c>
      <c r="B242" s="10" t="s">
        <v>0</v>
      </c>
      <c r="C242" s="10" t="s">
        <v>135</v>
      </c>
      <c r="D242" s="10">
        <v>1090342</v>
      </c>
      <c r="E242" s="10" t="s">
        <v>2018</v>
      </c>
      <c r="F242" s="10" t="s">
        <v>26</v>
      </c>
      <c r="G242" s="10" t="s">
        <v>226</v>
      </c>
      <c r="H242" s="29">
        <v>2500</v>
      </c>
    </row>
    <row r="243" spans="1:8" x14ac:dyDescent="0.3">
      <c r="A243" s="55">
        <v>46134</v>
      </c>
      <c r="B243" s="10" t="s">
        <v>0</v>
      </c>
      <c r="C243" s="10" t="s">
        <v>135</v>
      </c>
      <c r="D243" s="10">
        <v>1090369</v>
      </c>
      <c r="E243" s="10" t="s">
        <v>2025</v>
      </c>
      <c r="F243" s="10" t="s">
        <v>26</v>
      </c>
      <c r="G243" s="10" t="s">
        <v>237</v>
      </c>
      <c r="H243" s="29">
        <v>2500</v>
      </c>
    </row>
    <row r="244" spans="1:8" x14ac:dyDescent="0.3">
      <c r="A244" s="55">
        <v>46134</v>
      </c>
      <c r="B244" s="10" t="s">
        <v>0</v>
      </c>
      <c r="C244" s="10" t="s">
        <v>697</v>
      </c>
      <c r="D244" s="10">
        <v>1090327</v>
      </c>
      <c r="E244" s="10" t="s">
        <v>2026</v>
      </c>
      <c r="F244" s="10" t="s">
        <v>26</v>
      </c>
      <c r="G244" s="10" t="s">
        <v>561</v>
      </c>
      <c r="H244" s="29">
        <v>2500</v>
      </c>
    </row>
    <row r="245" spans="1:8" x14ac:dyDescent="0.3">
      <c r="A245" s="55">
        <v>46134</v>
      </c>
      <c r="B245" s="23" t="s">
        <v>9</v>
      </c>
      <c r="C245" s="23" t="s">
        <v>1646</v>
      </c>
      <c r="D245" s="23">
        <v>1090328</v>
      </c>
      <c r="E245" s="23" t="s">
        <v>2027</v>
      </c>
      <c r="F245" s="23" t="s">
        <v>26</v>
      </c>
      <c r="G245" s="23" t="s">
        <v>719</v>
      </c>
      <c r="H245" s="30">
        <v>15000</v>
      </c>
    </row>
    <row r="246" spans="1:8" x14ac:dyDescent="0.3">
      <c r="A246" s="55">
        <v>46134</v>
      </c>
      <c r="B246" s="23" t="s">
        <v>9</v>
      </c>
      <c r="C246" s="23" t="s">
        <v>422</v>
      </c>
      <c r="D246" s="23">
        <v>1090361</v>
      </c>
      <c r="E246" s="23" t="s">
        <v>2028</v>
      </c>
      <c r="F246" s="23" t="s">
        <v>201</v>
      </c>
      <c r="G246" s="23" t="s">
        <v>51</v>
      </c>
      <c r="H246" s="30">
        <v>18000</v>
      </c>
    </row>
    <row r="247" spans="1:8" x14ac:dyDescent="0.3">
      <c r="A247" s="55">
        <v>46134</v>
      </c>
      <c r="B247" s="23" t="s">
        <v>9</v>
      </c>
      <c r="C247" s="23" t="s">
        <v>2029</v>
      </c>
      <c r="D247" s="23">
        <v>1090358</v>
      </c>
      <c r="E247" s="23" t="s">
        <v>2030</v>
      </c>
      <c r="F247" s="23" t="s">
        <v>411</v>
      </c>
      <c r="G247" s="23" t="s">
        <v>27</v>
      </c>
      <c r="H247" s="30">
        <v>9000</v>
      </c>
    </row>
    <row r="248" spans="1:8" x14ac:dyDescent="0.3">
      <c r="A248" s="55">
        <v>46134</v>
      </c>
      <c r="B248" s="23" t="s">
        <v>9</v>
      </c>
      <c r="C248" s="23" t="s">
        <v>2031</v>
      </c>
      <c r="D248" s="23">
        <v>1090323</v>
      </c>
      <c r="E248" s="23" t="s">
        <v>2032</v>
      </c>
      <c r="F248" s="23" t="s">
        <v>26</v>
      </c>
      <c r="G248" s="23" t="s">
        <v>516</v>
      </c>
      <c r="H248" s="30">
        <v>27000</v>
      </c>
    </row>
    <row r="249" spans="1:8" x14ac:dyDescent="0.3">
      <c r="A249" s="55">
        <v>46134</v>
      </c>
      <c r="B249" s="23" t="s">
        <v>9</v>
      </c>
      <c r="C249" s="23" t="s">
        <v>2033</v>
      </c>
      <c r="D249" s="23">
        <v>1090389</v>
      </c>
      <c r="E249" s="23" t="s">
        <v>2034</v>
      </c>
      <c r="F249" s="23" t="s">
        <v>34</v>
      </c>
      <c r="G249" s="23" t="s">
        <v>416</v>
      </c>
      <c r="H249" s="30">
        <v>18000</v>
      </c>
    </row>
    <row r="250" spans="1:8" x14ac:dyDescent="0.3">
      <c r="A250" s="55">
        <v>46134</v>
      </c>
      <c r="B250" s="23" t="s">
        <v>9</v>
      </c>
      <c r="C250" s="23" t="s">
        <v>2035</v>
      </c>
      <c r="D250" s="23">
        <v>1090391</v>
      </c>
      <c r="E250" s="23" t="s">
        <v>2036</v>
      </c>
      <c r="F250" s="23" t="s">
        <v>1398</v>
      </c>
      <c r="G250" s="23" t="s">
        <v>39</v>
      </c>
      <c r="H250" s="30">
        <v>22000</v>
      </c>
    </row>
    <row r="251" spans="1:8" x14ac:dyDescent="0.3">
      <c r="A251" s="55">
        <v>46134</v>
      </c>
      <c r="B251" s="23" t="s">
        <v>9</v>
      </c>
      <c r="C251" s="23" t="s">
        <v>580</v>
      </c>
      <c r="D251" s="23">
        <v>1090371</v>
      </c>
      <c r="E251" s="23" t="s">
        <v>2037</v>
      </c>
      <c r="F251" s="23" t="s">
        <v>26</v>
      </c>
      <c r="G251" s="23" t="s">
        <v>84</v>
      </c>
      <c r="H251" s="30">
        <v>20000</v>
      </c>
    </row>
    <row r="252" spans="1:8" x14ac:dyDescent="0.3">
      <c r="A252" s="55">
        <v>46134</v>
      </c>
      <c r="B252" s="23" t="s">
        <v>9</v>
      </c>
      <c r="C252" s="23" t="s">
        <v>471</v>
      </c>
      <c r="D252" s="23">
        <v>1090390</v>
      </c>
      <c r="E252" s="23" t="s">
        <v>2038</v>
      </c>
      <c r="F252" s="23" t="s">
        <v>201</v>
      </c>
      <c r="G252" s="23" t="s">
        <v>280</v>
      </c>
      <c r="H252" s="30">
        <v>58000</v>
      </c>
    </row>
    <row r="253" spans="1:8" x14ac:dyDescent="0.3">
      <c r="A253" s="55">
        <v>46134</v>
      </c>
      <c r="B253" s="23" t="s">
        <v>9</v>
      </c>
      <c r="C253" s="23" t="s">
        <v>889</v>
      </c>
      <c r="D253" s="23">
        <v>1090313</v>
      </c>
      <c r="E253" s="23" t="s">
        <v>2039</v>
      </c>
      <c r="F253" s="23" t="s">
        <v>26</v>
      </c>
      <c r="G253" s="23" t="s">
        <v>45</v>
      </c>
      <c r="H253" s="30">
        <v>25000</v>
      </c>
    </row>
    <row r="254" spans="1:8" x14ac:dyDescent="0.3">
      <c r="A254" s="55">
        <v>46134</v>
      </c>
      <c r="B254" s="23" t="s">
        <v>9</v>
      </c>
      <c r="C254" s="23" t="s">
        <v>2040</v>
      </c>
      <c r="D254" s="23">
        <v>1090381</v>
      </c>
      <c r="E254" s="23" t="s">
        <v>2041</v>
      </c>
      <c r="F254" s="23" t="s">
        <v>26</v>
      </c>
      <c r="G254" s="23" t="s">
        <v>98</v>
      </c>
      <c r="H254" s="30">
        <v>26000</v>
      </c>
    </row>
    <row r="255" spans="1:8" x14ac:dyDescent="0.3">
      <c r="A255" s="55">
        <v>46134</v>
      </c>
      <c r="B255" s="23" t="s">
        <v>9</v>
      </c>
      <c r="C255" s="23" t="s">
        <v>1663</v>
      </c>
      <c r="D255" s="23">
        <v>1090326</v>
      </c>
      <c r="E255" s="23" t="s">
        <v>2042</v>
      </c>
      <c r="F255" s="23" t="s">
        <v>26</v>
      </c>
      <c r="G255" s="23" t="s">
        <v>98</v>
      </c>
      <c r="H255" s="30">
        <v>26000</v>
      </c>
    </row>
    <row r="256" spans="1:8" x14ac:dyDescent="0.3">
      <c r="A256" s="55">
        <v>46134</v>
      </c>
      <c r="B256" s="23" t="s">
        <v>9</v>
      </c>
      <c r="C256" s="23" t="s">
        <v>580</v>
      </c>
      <c r="D256" s="23">
        <v>1090321</v>
      </c>
      <c r="E256" s="23" t="s">
        <v>2043</v>
      </c>
      <c r="F256" s="23" t="s">
        <v>34</v>
      </c>
      <c r="G256" s="23" t="s">
        <v>195</v>
      </c>
      <c r="H256" s="30">
        <v>18000</v>
      </c>
    </row>
    <row r="257" spans="1:8" x14ac:dyDescent="0.3">
      <c r="A257" s="55">
        <v>46134</v>
      </c>
      <c r="B257" s="23" t="s">
        <v>9</v>
      </c>
      <c r="C257" s="23" t="s">
        <v>422</v>
      </c>
      <c r="D257" s="23">
        <v>1090319</v>
      </c>
      <c r="E257" s="23" t="s">
        <v>2044</v>
      </c>
      <c r="F257" s="23" t="s">
        <v>26</v>
      </c>
      <c r="G257" s="23" t="s">
        <v>104</v>
      </c>
      <c r="H257" s="30">
        <v>3000</v>
      </c>
    </row>
    <row r="258" spans="1:8" x14ac:dyDescent="0.3">
      <c r="A258" s="55">
        <v>46134</v>
      </c>
      <c r="B258" s="23" t="s">
        <v>9</v>
      </c>
      <c r="C258" s="23" t="s">
        <v>178</v>
      </c>
      <c r="D258" s="23">
        <v>1090331</v>
      </c>
      <c r="E258" s="23" t="s">
        <v>2045</v>
      </c>
      <c r="F258" s="23" t="s">
        <v>26</v>
      </c>
      <c r="G258" s="23" t="s">
        <v>124</v>
      </c>
      <c r="H258" s="30">
        <v>3000</v>
      </c>
    </row>
    <row r="259" spans="1:8" x14ac:dyDescent="0.3">
      <c r="A259" s="55">
        <v>46134</v>
      </c>
      <c r="B259" s="23" t="s">
        <v>9</v>
      </c>
      <c r="C259" s="23" t="s">
        <v>1562</v>
      </c>
      <c r="D259" s="23">
        <v>1090359</v>
      </c>
      <c r="E259" s="23" t="s">
        <v>2046</v>
      </c>
      <c r="F259" s="23" t="s">
        <v>26</v>
      </c>
      <c r="G259" s="23" t="s">
        <v>124</v>
      </c>
      <c r="H259" s="30">
        <v>3000</v>
      </c>
    </row>
    <row r="260" spans="1:8" x14ac:dyDescent="0.3">
      <c r="A260" s="55">
        <v>46134</v>
      </c>
      <c r="B260" s="23" t="s">
        <v>9</v>
      </c>
      <c r="C260" s="23" t="s">
        <v>2033</v>
      </c>
      <c r="D260" s="23">
        <v>1090389</v>
      </c>
      <c r="E260" s="23" t="s">
        <v>2034</v>
      </c>
      <c r="F260" s="23" t="s">
        <v>34</v>
      </c>
      <c r="G260" s="23" t="s">
        <v>39</v>
      </c>
      <c r="H260" s="30">
        <v>18000</v>
      </c>
    </row>
    <row r="261" spans="1:8" x14ac:dyDescent="0.3">
      <c r="A261" s="55">
        <v>46134</v>
      </c>
      <c r="B261" s="23" t="s">
        <v>9</v>
      </c>
      <c r="C261" s="23" t="s">
        <v>422</v>
      </c>
      <c r="D261" s="23">
        <v>1090322</v>
      </c>
      <c r="E261" s="23" t="s">
        <v>2044</v>
      </c>
      <c r="F261" s="23" t="s">
        <v>26</v>
      </c>
      <c r="G261" s="23" t="s">
        <v>129</v>
      </c>
      <c r="H261" s="30">
        <v>3000</v>
      </c>
    </row>
    <row r="262" spans="1:8" x14ac:dyDescent="0.3">
      <c r="A262" s="55">
        <v>46134</v>
      </c>
      <c r="B262" s="23" t="s">
        <v>9</v>
      </c>
      <c r="C262" s="23" t="s">
        <v>471</v>
      </c>
      <c r="D262" s="23">
        <v>1090390</v>
      </c>
      <c r="E262" s="23" t="s">
        <v>2038</v>
      </c>
      <c r="F262" s="23" t="s">
        <v>201</v>
      </c>
      <c r="G262" s="23" t="s">
        <v>555</v>
      </c>
      <c r="H262" s="30">
        <v>2500</v>
      </c>
    </row>
    <row r="263" spans="1:8" x14ac:dyDescent="0.3">
      <c r="A263" s="55">
        <v>46134</v>
      </c>
      <c r="B263" s="23" t="s">
        <v>9</v>
      </c>
      <c r="C263" s="23" t="s">
        <v>1646</v>
      </c>
      <c r="D263" s="23">
        <v>1090368</v>
      </c>
      <c r="E263" s="23" t="s">
        <v>2047</v>
      </c>
      <c r="F263" s="23" t="s">
        <v>26</v>
      </c>
      <c r="G263" s="23" t="s">
        <v>184</v>
      </c>
      <c r="H263" s="30">
        <v>2500</v>
      </c>
    </row>
    <row r="264" spans="1:8" x14ac:dyDescent="0.3">
      <c r="A264" s="55">
        <v>46134</v>
      </c>
      <c r="B264" s="23" t="s">
        <v>9</v>
      </c>
      <c r="C264" s="23" t="s">
        <v>471</v>
      </c>
      <c r="D264" s="23">
        <v>1090390</v>
      </c>
      <c r="E264" s="23" t="s">
        <v>2038</v>
      </c>
      <c r="F264" s="23" t="s">
        <v>201</v>
      </c>
      <c r="G264" s="23" t="s">
        <v>231</v>
      </c>
      <c r="H264" s="30">
        <v>2500</v>
      </c>
    </row>
    <row r="265" spans="1:8" x14ac:dyDescent="0.3">
      <c r="A265" s="55">
        <v>46134</v>
      </c>
      <c r="B265" s="23" t="s">
        <v>9</v>
      </c>
      <c r="C265" s="23" t="s">
        <v>471</v>
      </c>
      <c r="D265" s="23">
        <v>1090390</v>
      </c>
      <c r="E265" s="23" t="s">
        <v>2038</v>
      </c>
      <c r="F265" s="23" t="s">
        <v>201</v>
      </c>
      <c r="G265" s="23" t="s">
        <v>561</v>
      </c>
      <c r="H265" s="30">
        <v>2500</v>
      </c>
    </row>
    <row r="266" spans="1:8" x14ac:dyDescent="0.3">
      <c r="A266" s="55">
        <v>46134</v>
      </c>
      <c r="B266" t="s">
        <v>185</v>
      </c>
      <c r="C266" t="s">
        <v>186</v>
      </c>
      <c r="D266">
        <v>1090347</v>
      </c>
      <c r="E266" t="s">
        <v>2048</v>
      </c>
      <c r="F266" t="s">
        <v>26</v>
      </c>
      <c r="G266" t="s">
        <v>405</v>
      </c>
      <c r="H266" s="31">
        <v>16000</v>
      </c>
    </row>
    <row r="267" spans="1:8" x14ac:dyDescent="0.3">
      <c r="A267" s="55">
        <v>46134</v>
      </c>
      <c r="B267" t="s">
        <v>185</v>
      </c>
      <c r="C267" t="s">
        <v>2049</v>
      </c>
      <c r="D267">
        <v>1090335</v>
      </c>
      <c r="E267" t="s">
        <v>2050</v>
      </c>
      <c r="F267" t="s">
        <v>26</v>
      </c>
      <c r="G267" t="s">
        <v>54</v>
      </c>
      <c r="H267" s="31">
        <v>14000</v>
      </c>
    </row>
    <row r="268" spans="1:8" x14ac:dyDescent="0.3">
      <c r="A268" s="55">
        <v>46134</v>
      </c>
      <c r="B268" t="s">
        <v>185</v>
      </c>
      <c r="C268" t="s">
        <v>192</v>
      </c>
      <c r="D268">
        <v>1090316</v>
      </c>
      <c r="E268" t="s">
        <v>2051</v>
      </c>
      <c r="F268" t="s">
        <v>26</v>
      </c>
      <c r="G268" t="s">
        <v>84</v>
      </c>
      <c r="H268" s="31">
        <v>20000</v>
      </c>
    </row>
    <row r="269" spans="1:8" x14ac:dyDescent="0.3">
      <c r="A269" s="55">
        <v>46134</v>
      </c>
      <c r="B269" s="25" t="s">
        <v>185</v>
      </c>
      <c r="C269" s="25" t="s">
        <v>2052</v>
      </c>
      <c r="D269" s="25">
        <v>1090367</v>
      </c>
      <c r="E269" s="25" t="s">
        <v>2053</v>
      </c>
      <c r="F269" s="25" t="s">
        <v>160</v>
      </c>
      <c r="G269" s="25" t="s">
        <v>84</v>
      </c>
      <c r="H269" s="32">
        <v>18000</v>
      </c>
    </row>
    <row r="270" spans="1:8" x14ac:dyDescent="0.3">
      <c r="A270" s="55">
        <v>46134</v>
      </c>
      <c r="B270" t="s">
        <v>185</v>
      </c>
      <c r="C270" t="s">
        <v>2054</v>
      </c>
      <c r="D270">
        <v>1090325</v>
      </c>
      <c r="E270" t="s">
        <v>2055</v>
      </c>
      <c r="F270" t="s">
        <v>26</v>
      </c>
      <c r="G270" t="s">
        <v>195</v>
      </c>
      <c r="H270" s="31">
        <v>20000</v>
      </c>
    </row>
    <row r="271" spans="1:8" x14ac:dyDescent="0.3">
      <c r="A271" s="55">
        <v>46134</v>
      </c>
      <c r="B271" t="s">
        <v>185</v>
      </c>
      <c r="C271" t="s">
        <v>192</v>
      </c>
      <c r="D271">
        <v>1090364</v>
      </c>
      <c r="E271" t="s">
        <v>2056</v>
      </c>
      <c r="F271" t="s">
        <v>26</v>
      </c>
      <c r="G271" t="s">
        <v>837</v>
      </c>
      <c r="H271" s="31">
        <v>8000</v>
      </c>
    </row>
    <row r="272" spans="1:8" x14ac:dyDescent="0.3">
      <c r="A272" s="55">
        <v>46134</v>
      </c>
      <c r="B272" t="s">
        <v>185</v>
      </c>
      <c r="C272" t="s">
        <v>2057</v>
      </c>
      <c r="D272">
        <v>1090318</v>
      </c>
      <c r="E272" t="s">
        <v>2058</v>
      </c>
      <c r="F272" t="s">
        <v>26</v>
      </c>
      <c r="G272" t="s">
        <v>124</v>
      </c>
      <c r="H272" s="31">
        <v>3000</v>
      </c>
    </row>
    <row r="273" spans="1:8" x14ac:dyDescent="0.3">
      <c r="A273" s="55">
        <v>46134</v>
      </c>
      <c r="B273" t="s">
        <v>185</v>
      </c>
      <c r="C273" t="s">
        <v>344</v>
      </c>
      <c r="D273">
        <v>1090344</v>
      </c>
      <c r="E273" t="s">
        <v>2059</v>
      </c>
      <c r="F273" t="s">
        <v>26</v>
      </c>
      <c r="G273" t="s">
        <v>124</v>
      </c>
      <c r="H273" s="31">
        <v>3000</v>
      </c>
    </row>
    <row r="274" spans="1:8" x14ac:dyDescent="0.3">
      <c r="A274" s="55">
        <v>46134</v>
      </c>
      <c r="B274" t="s">
        <v>185</v>
      </c>
      <c r="C274" t="s">
        <v>186</v>
      </c>
      <c r="D274">
        <v>1090324</v>
      </c>
      <c r="E274" t="s">
        <v>2060</v>
      </c>
      <c r="F274" t="s">
        <v>34</v>
      </c>
      <c r="G274" t="s">
        <v>211</v>
      </c>
      <c r="H274" s="31">
        <v>1800</v>
      </c>
    </row>
    <row r="275" spans="1:8" x14ac:dyDescent="0.3">
      <c r="A275" s="55">
        <v>46134</v>
      </c>
      <c r="B275" t="s">
        <v>185</v>
      </c>
      <c r="C275" t="s">
        <v>186</v>
      </c>
      <c r="D275">
        <v>1090374</v>
      </c>
      <c r="E275" t="s">
        <v>2061</v>
      </c>
      <c r="F275" t="s">
        <v>26</v>
      </c>
      <c r="G275" t="s">
        <v>211</v>
      </c>
      <c r="H275" s="31">
        <v>2500</v>
      </c>
    </row>
    <row r="276" spans="1:8" x14ac:dyDescent="0.3">
      <c r="A276" s="55">
        <v>46134</v>
      </c>
      <c r="B276" t="s">
        <v>185</v>
      </c>
      <c r="C276" t="s">
        <v>208</v>
      </c>
      <c r="D276">
        <v>1090392</v>
      </c>
      <c r="E276" t="s">
        <v>2062</v>
      </c>
      <c r="F276" t="s">
        <v>210</v>
      </c>
      <c r="G276" t="s">
        <v>211</v>
      </c>
      <c r="H276" s="31">
        <v>2000</v>
      </c>
    </row>
    <row r="277" spans="1:8" x14ac:dyDescent="0.3">
      <c r="A277" s="55">
        <v>46134</v>
      </c>
      <c r="B277" t="s">
        <v>185</v>
      </c>
      <c r="C277" t="s">
        <v>208</v>
      </c>
      <c r="D277">
        <v>1090395</v>
      </c>
      <c r="E277" t="s">
        <v>2063</v>
      </c>
      <c r="F277" t="s">
        <v>210</v>
      </c>
      <c r="G277" t="s">
        <v>701</v>
      </c>
      <c r="H277" s="31">
        <v>3500</v>
      </c>
    </row>
    <row r="278" spans="1:8" x14ac:dyDescent="0.3">
      <c r="A278" s="55">
        <v>46134</v>
      </c>
      <c r="B278" t="s">
        <v>185</v>
      </c>
      <c r="C278" t="s">
        <v>186</v>
      </c>
      <c r="D278">
        <v>1090373</v>
      </c>
      <c r="E278" t="s">
        <v>2064</v>
      </c>
      <c r="F278" t="s">
        <v>2065</v>
      </c>
      <c r="G278" t="s">
        <v>141</v>
      </c>
      <c r="H278" s="31">
        <v>2500</v>
      </c>
    </row>
    <row r="279" spans="1:8" x14ac:dyDescent="0.3">
      <c r="A279" s="55">
        <v>46134</v>
      </c>
      <c r="B279" t="s">
        <v>185</v>
      </c>
      <c r="C279" t="s">
        <v>192</v>
      </c>
      <c r="D279">
        <v>1090336</v>
      </c>
      <c r="E279" t="s">
        <v>2066</v>
      </c>
      <c r="F279" t="s">
        <v>60</v>
      </c>
      <c r="G279" t="s">
        <v>141</v>
      </c>
      <c r="H279" s="31">
        <v>2500</v>
      </c>
    </row>
    <row r="280" spans="1:8" x14ac:dyDescent="0.3">
      <c r="A280" s="55">
        <v>46134</v>
      </c>
      <c r="B280" t="s">
        <v>185</v>
      </c>
      <c r="C280" t="s">
        <v>186</v>
      </c>
      <c r="D280">
        <v>1090346</v>
      </c>
      <c r="E280" t="s">
        <v>2067</v>
      </c>
      <c r="F280" t="s">
        <v>79</v>
      </c>
      <c r="G280" t="s">
        <v>222</v>
      </c>
      <c r="H280" s="31">
        <v>1800</v>
      </c>
    </row>
    <row r="281" spans="1:8" x14ac:dyDescent="0.3">
      <c r="A281" s="55">
        <v>46134</v>
      </c>
      <c r="B281" t="s">
        <v>185</v>
      </c>
      <c r="C281" t="s">
        <v>186</v>
      </c>
      <c r="D281">
        <v>1090384</v>
      </c>
      <c r="E281" t="s">
        <v>2068</v>
      </c>
      <c r="F281" t="s">
        <v>160</v>
      </c>
      <c r="G281" t="s">
        <v>222</v>
      </c>
      <c r="H281" s="31">
        <v>2500</v>
      </c>
    </row>
    <row r="282" spans="1:8" x14ac:dyDescent="0.3">
      <c r="A282" s="55">
        <v>46134</v>
      </c>
      <c r="B282" t="s">
        <v>185</v>
      </c>
      <c r="C282" t="s">
        <v>186</v>
      </c>
      <c r="D282">
        <v>1090374</v>
      </c>
      <c r="E282" t="s">
        <v>2061</v>
      </c>
      <c r="F282" t="s">
        <v>26</v>
      </c>
      <c r="G282" t="s">
        <v>222</v>
      </c>
      <c r="H282" s="31">
        <v>2500</v>
      </c>
    </row>
    <row r="283" spans="1:8" x14ac:dyDescent="0.3">
      <c r="A283" s="55">
        <v>46134</v>
      </c>
      <c r="B283" t="s">
        <v>185</v>
      </c>
      <c r="C283" t="s">
        <v>208</v>
      </c>
      <c r="D283">
        <v>1090392</v>
      </c>
      <c r="E283" t="s">
        <v>2062</v>
      </c>
      <c r="F283" t="s">
        <v>210</v>
      </c>
      <c r="G283" t="s">
        <v>222</v>
      </c>
      <c r="H283" s="31">
        <v>2000</v>
      </c>
    </row>
    <row r="284" spans="1:8" x14ac:dyDescent="0.3">
      <c r="A284" s="55">
        <v>46134</v>
      </c>
      <c r="B284" t="s">
        <v>185</v>
      </c>
      <c r="C284" t="s">
        <v>208</v>
      </c>
      <c r="D284">
        <v>1090394</v>
      </c>
      <c r="E284" t="s">
        <v>2069</v>
      </c>
      <c r="F284" t="s">
        <v>210</v>
      </c>
      <c r="G284" t="s">
        <v>226</v>
      </c>
      <c r="H284" s="31">
        <v>2000</v>
      </c>
    </row>
    <row r="285" spans="1:8" x14ac:dyDescent="0.3">
      <c r="A285" s="55">
        <v>46134</v>
      </c>
      <c r="B285" t="s">
        <v>185</v>
      </c>
      <c r="C285" t="s">
        <v>208</v>
      </c>
      <c r="D285">
        <v>1090393</v>
      </c>
      <c r="E285" t="s">
        <v>2070</v>
      </c>
      <c r="F285" t="s">
        <v>210</v>
      </c>
      <c r="G285" t="s">
        <v>226</v>
      </c>
      <c r="H285" s="31">
        <v>2000</v>
      </c>
    </row>
    <row r="286" spans="1:8" x14ac:dyDescent="0.3">
      <c r="A286" s="55">
        <v>46134</v>
      </c>
      <c r="B286" t="s">
        <v>185</v>
      </c>
      <c r="C286" t="s">
        <v>192</v>
      </c>
      <c r="D286">
        <v>1090333</v>
      </c>
      <c r="E286" t="s">
        <v>2071</v>
      </c>
      <c r="F286" t="s">
        <v>201</v>
      </c>
      <c r="G286" t="s">
        <v>231</v>
      </c>
      <c r="H286" s="31">
        <v>2500</v>
      </c>
    </row>
    <row r="287" spans="1:8" x14ac:dyDescent="0.3">
      <c r="A287" s="55">
        <v>46134</v>
      </c>
      <c r="B287" t="s">
        <v>185</v>
      </c>
      <c r="C287" t="s">
        <v>208</v>
      </c>
      <c r="D287">
        <v>1090320</v>
      </c>
      <c r="E287" t="s">
        <v>2072</v>
      </c>
      <c r="F287" t="s">
        <v>411</v>
      </c>
      <c r="G287" t="s">
        <v>233</v>
      </c>
      <c r="H287" s="31">
        <v>2500</v>
      </c>
    </row>
    <row r="288" spans="1:8" x14ac:dyDescent="0.3">
      <c r="A288" s="55">
        <v>46134</v>
      </c>
      <c r="B288" t="s">
        <v>185</v>
      </c>
      <c r="C288" t="s">
        <v>208</v>
      </c>
      <c r="D288">
        <v>1090394</v>
      </c>
      <c r="E288" t="s">
        <v>2069</v>
      </c>
      <c r="F288" t="s">
        <v>210</v>
      </c>
      <c r="G288" t="s">
        <v>233</v>
      </c>
      <c r="H288" s="31">
        <v>2500</v>
      </c>
    </row>
    <row r="289" spans="1:8" x14ac:dyDescent="0.3">
      <c r="A289" s="55">
        <v>46134</v>
      </c>
      <c r="B289" t="s">
        <v>185</v>
      </c>
      <c r="C289" t="s">
        <v>196</v>
      </c>
      <c r="D289">
        <v>1090372</v>
      </c>
      <c r="E289" t="s">
        <v>2073</v>
      </c>
      <c r="F289" t="s">
        <v>482</v>
      </c>
      <c r="G289" t="s">
        <v>237</v>
      </c>
      <c r="H289" s="31">
        <v>2500</v>
      </c>
    </row>
    <row r="290" spans="1:8" x14ac:dyDescent="0.3">
      <c r="A290" s="55">
        <v>46135</v>
      </c>
      <c r="B290" s="18" t="s">
        <v>11</v>
      </c>
      <c r="C290" s="18" t="s">
        <v>395</v>
      </c>
      <c r="D290" s="18">
        <v>1090469</v>
      </c>
      <c r="E290" s="18" t="s">
        <v>2074</v>
      </c>
      <c r="F290" s="18" t="s">
        <v>79</v>
      </c>
      <c r="G290" s="18" t="s">
        <v>498</v>
      </c>
      <c r="H290" s="19">
        <v>22000</v>
      </c>
    </row>
    <row r="291" spans="1:8" x14ac:dyDescent="0.3">
      <c r="A291" s="55">
        <v>46135</v>
      </c>
      <c r="B291" s="18" t="s">
        <v>11</v>
      </c>
      <c r="C291" s="18" t="s">
        <v>1475</v>
      </c>
      <c r="D291" s="18">
        <v>1090442</v>
      </c>
      <c r="E291" s="18" t="s">
        <v>2075</v>
      </c>
      <c r="F291" s="18" t="s">
        <v>64</v>
      </c>
      <c r="G291" s="18" t="s">
        <v>394</v>
      </c>
      <c r="H291" s="19">
        <v>36000</v>
      </c>
    </row>
    <row r="292" spans="1:8" x14ac:dyDescent="0.3">
      <c r="A292" s="55">
        <v>46135</v>
      </c>
      <c r="B292" s="18" t="s">
        <v>11</v>
      </c>
      <c r="C292" s="18" t="s">
        <v>2076</v>
      </c>
      <c r="D292" s="18">
        <v>1090445</v>
      </c>
      <c r="E292" s="18" t="s">
        <v>2077</v>
      </c>
      <c r="F292" s="18" t="s">
        <v>160</v>
      </c>
      <c r="G292" s="18" t="s">
        <v>84</v>
      </c>
      <c r="H292" s="19">
        <v>18000</v>
      </c>
    </row>
    <row r="293" spans="1:8" x14ac:dyDescent="0.3">
      <c r="A293" s="55">
        <v>46135</v>
      </c>
      <c r="B293" s="18" t="s">
        <v>11</v>
      </c>
      <c r="C293" s="18" t="s">
        <v>401</v>
      </c>
      <c r="D293" s="18">
        <v>1090460</v>
      </c>
      <c r="E293" s="18" t="s">
        <v>2078</v>
      </c>
      <c r="F293" s="18" t="s">
        <v>1398</v>
      </c>
      <c r="G293" s="18" t="s">
        <v>45</v>
      </c>
      <c r="H293" s="19">
        <v>24800</v>
      </c>
    </row>
    <row r="294" spans="1:8" x14ac:dyDescent="0.3">
      <c r="A294" s="55">
        <v>46135</v>
      </c>
      <c r="B294" s="18" t="s">
        <v>11</v>
      </c>
      <c r="C294" s="18" t="s">
        <v>401</v>
      </c>
      <c r="D294" s="18">
        <v>1090461</v>
      </c>
      <c r="E294" s="18" t="s">
        <v>2078</v>
      </c>
      <c r="F294" s="18" t="s">
        <v>26</v>
      </c>
      <c r="G294" s="18" t="s">
        <v>45</v>
      </c>
      <c r="H294" s="19">
        <v>200</v>
      </c>
    </row>
    <row r="295" spans="1:8" x14ac:dyDescent="0.3">
      <c r="A295" s="55">
        <v>46135</v>
      </c>
      <c r="B295" s="18" t="s">
        <v>11</v>
      </c>
      <c r="C295" s="18" t="s">
        <v>2079</v>
      </c>
      <c r="D295" s="18">
        <v>1090420</v>
      </c>
      <c r="E295" s="18" t="s">
        <v>2080</v>
      </c>
      <c r="F295" s="18" t="s">
        <v>160</v>
      </c>
      <c r="G295" s="18" t="s">
        <v>45</v>
      </c>
      <c r="H295" s="19">
        <v>20000</v>
      </c>
    </row>
    <row r="296" spans="1:8" x14ac:dyDescent="0.3">
      <c r="A296" s="55">
        <v>46135</v>
      </c>
      <c r="B296" s="18" t="s">
        <v>11</v>
      </c>
      <c r="C296" s="18" t="s">
        <v>2081</v>
      </c>
      <c r="D296" s="18">
        <v>1090474</v>
      </c>
      <c r="E296" s="18" t="s">
        <v>2082</v>
      </c>
      <c r="F296" s="18" t="s">
        <v>201</v>
      </c>
      <c r="G296" s="18" t="s">
        <v>195</v>
      </c>
      <c r="H296" s="19">
        <v>24000</v>
      </c>
    </row>
    <row r="297" spans="1:8" x14ac:dyDescent="0.3">
      <c r="A297" s="55">
        <v>46135</v>
      </c>
      <c r="B297" s="10" t="s">
        <v>0</v>
      </c>
      <c r="C297" s="10" t="s">
        <v>2083</v>
      </c>
      <c r="D297" s="10">
        <v>1090440</v>
      </c>
      <c r="E297" s="10" t="s">
        <v>2084</v>
      </c>
      <c r="F297" s="10" t="s">
        <v>26</v>
      </c>
      <c r="G297" s="10" t="s">
        <v>719</v>
      </c>
      <c r="H297" s="21">
        <v>15000</v>
      </c>
    </row>
    <row r="298" spans="1:8" x14ac:dyDescent="0.3">
      <c r="A298" s="55">
        <v>46135</v>
      </c>
      <c r="B298" s="10" t="s">
        <v>0</v>
      </c>
      <c r="C298" s="10" t="s">
        <v>114</v>
      </c>
      <c r="D298" s="10">
        <v>1090454</v>
      </c>
      <c r="E298" s="10" t="s">
        <v>2085</v>
      </c>
      <c r="F298" s="10" t="s">
        <v>26</v>
      </c>
      <c r="G298" s="10" t="s">
        <v>501</v>
      </c>
      <c r="H298" s="21">
        <v>18000</v>
      </c>
    </row>
    <row r="299" spans="1:8" x14ac:dyDescent="0.3">
      <c r="A299" s="55">
        <v>46135</v>
      </c>
      <c r="B299" s="10" t="s">
        <v>0</v>
      </c>
      <c r="C299" s="10" t="s">
        <v>114</v>
      </c>
      <c r="D299" s="10">
        <v>1090411</v>
      </c>
      <c r="E299" s="10" t="s">
        <v>2086</v>
      </c>
      <c r="F299" s="10" t="s">
        <v>26</v>
      </c>
      <c r="G299" s="10" t="s">
        <v>749</v>
      </c>
      <c r="H299" s="21">
        <v>12000</v>
      </c>
    </row>
    <row r="300" spans="1:8" x14ac:dyDescent="0.3">
      <c r="A300" s="55">
        <v>46135</v>
      </c>
      <c r="B300" s="10" t="s">
        <v>0</v>
      </c>
      <c r="C300" s="10" t="s">
        <v>293</v>
      </c>
      <c r="D300" s="10">
        <v>1090423</v>
      </c>
      <c r="E300" s="10" t="s">
        <v>2087</v>
      </c>
      <c r="F300" s="10" t="s">
        <v>26</v>
      </c>
      <c r="G300" s="10" t="s">
        <v>65</v>
      </c>
      <c r="H300" s="21">
        <v>12000</v>
      </c>
    </row>
    <row r="301" spans="1:8" x14ac:dyDescent="0.3">
      <c r="A301" s="55">
        <v>46135</v>
      </c>
      <c r="B301" s="10" t="s">
        <v>0</v>
      </c>
      <c r="C301" s="10" t="s">
        <v>96</v>
      </c>
      <c r="D301" s="10">
        <v>1090409</v>
      </c>
      <c r="E301" s="10" t="s">
        <v>2088</v>
      </c>
      <c r="F301" s="10" t="s">
        <v>26</v>
      </c>
      <c r="G301" s="10" t="s">
        <v>31</v>
      </c>
      <c r="H301" s="21">
        <v>7500</v>
      </c>
    </row>
    <row r="302" spans="1:8" x14ac:dyDescent="0.3">
      <c r="A302" s="55">
        <v>46135</v>
      </c>
      <c r="B302" s="10" t="s">
        <v>0</v>
      </c>
      <c r="C302" s="10" t="s">
        <v>114</v>
      </c>
      <c r="D302" s="10">
        <v>1090419</v>
      </c>
      <c r="E302" s="10" t="s">
        <v>2089</v>
      </c>
      <c r="F302" s="10" t="s">
        <v>26</v>
      </c>
      <c r="G302" s="10" t="s">
        <v>74</v>
      </c>
      <c r="H302" s="21">
        <v>20000</v>
      </c>
    </row>
    <row r="303" spans="1:8" x14ac:dyDescent="0.3">
      <c r="A303" s="55">
        <v>46135</v>
      </c>
      <c r="B303" s="10" t="s">
        <v>0</v>
      </c>
      <c r="C303" s="10" t="s">
        <v>530</v>
      </c>
      <c r="D303" s="10">
        <v>1090470</v>
      </c>
      <c r="E303" s="10" t="s">
        <v>2090</v>
      </c>
      <c r="F303" s="10" t="s">
        <v>26</v>
      </c>
      <c r="G303" s="10" t="s">
        <v>74</v>
      </c>
      <c r="H303" s="21">
        <v>20000</v>
      </c>
    </row>
    <row r="304" spans="1:8" x14ac:dyDescent="0.3">
      <c r="A304" s="55">
        <v>46135</v>
      </c>
      <c r="B304" s="10" t="s">
        <v>0</v>
      </c>
      <c r="C304" s="10" t="s">
        <v>1499</v>
      </c>
      <c r="D304" s="10">
        <v>1090428</v>
      </c>
      <c r="E304" s="10" t="s">
        <v>2091</v>
      </c>
      <c r="F304" s="10" t="s">
        <v>26</v>
      </c>
      <c r="G304" s="10" t="s">
        <v>74</v>
      </c>
      <c r="H304" s="21">
        <v>20000</v>
      </c>
    </row>
    <row r="305" spans="1:8" x14ac:dyDescent="0.3">
      <c r="A305" s="55">
        <v>46135</v>
      </c>
      <c r="B305" s="10" t="s">
        <v>0</v>
      </c>
      <c r="C305" s="10" t="s">
        <v>114</v>
      </c>
      <c r="D305" s="10">
        <v>1090434</v>
      </c>
      <c r="E305" s="10" t="s">
        <v>2092</v>
      </c>
      <c r="F305" s="10" t="s">
        <v>26</v>
      </c>
      <c r="G305" s="10" t="s">
        <v>74</v>
      </c>
      <c r="H305" s="21">
        <v>15000</v>
      </c>
    </row>
    <row r="306" spans="1:8" x14ac:dyDescent="0.3">
      <c r="A306" s="55">
        <v>46135</v>
      </c>
      <c r="B306" s="10" t="s">
        <v>0</v>
      </c>
      <c r="C306" s="10" t="s">
        <v>114</v>
      </c>
      <c r="D306" s="10">
        <v>1090471</v>
      </c>
      <c r="E306" s="10" t="s">
        <v>2093</v>
      </c>
      <c r="F306" s="10" t="s">
        <v>26</v>
      </c>
      <c r="G306" s="10" t="s">
        <v>74</v>
      </c>
      <c r="H306" s="21">
        <v>5000</v>
      </c>
    </row>
    <row r="307" spans="1:8" x14ac:dyDescent="0.3">
      <c r="A307" s="55">
        <v>46135</v>
      </c>
      <c r="B307" s="10" t="s">
        <v>0</v>
      </c>
      <c r="C307" s="10" t="s">
        <v>1417</v>
      </c>
      <c r="D307" s="10">
        <v>1090448</v>
      </c>
      <c r="E307" s="10" t="s">
        <v>2094</v>
      </c>
      <c r="F307" s="10" t="s">
        <v>34</v>
      </c>
      <c r="G307" s="10" t="s">
        <v>2095</v>
      </c>
      <c r="H307" s="21">
        <v>18000</v>
      </c>
    </row>
    <row r="308" spans="1:8" x14ac:dyDescent="0.3">
      <c r="A308" s="55">
        <v>46135</v>
      </c>
      <c r="B308" s="10" t="s">
        <v>0</v>
      </c>
      <c r="C308" s="10" t="s">
        <v>2096</v>
      </c>
      <c r="D308" s="10">
        <v>1090458</v>
      </c>
      <c r="E308" s="10" t="s">
        <v>2097</v>
      </c>
      <c r="F308" s="10" t="s">
        <v>26</v>
      </c>
      <c r="G308" s="10" t="s">
        <v>84</v>
      </c>
      <c r="H308" s="21">
        <v>20000</v>
      </c>
    </row>
    <row r="309" spans="1:8" x14ac:dyDescent="0.3">
      <c r="A309" s="55">
        <v>46135</v>
      </c>
      <c r="B309" s="10" t="s">
        <v>0</v>
      </c>
      <c r="C309" s="10" t="s">
        <v>1934</v>
      </c>
      <c r="D309" s="10">
        <v>1090425</v>
      </c>
      <c r="E309" s="10" t="s">
        <v>2098</v>
      </c>
      <c r="F309" s="10" t="s">
        <v>26</v>
      </c>
      <c r="G309" s="10" t="s">
        <v>84</v>
      </c>
      <c r="H309" s="21">
        <v>20000</v>
      </c>
    </row>
    <row r="310" spans="1:8" x14ac:dyDescent="0.3">
      <c r="A310" s="55">
        <v>46135</v>
      </c>
      <c r="B310" s="10" t="s">
        <v>0</v>
      </c>
      <c r="C310" s="10" t="s">
        <v>297</v>
      </c>
      <c r="D310" s="10">
        <v>1090410</v>
      </c>
      <c r="E310" s="10" t="s">
        <v>2099</v>
      </c>
      <c r="F310" s="10" t="s">
        <v>26</v>
      </c>
      <c r="G310" s="10" t="s">
        <v>84</v>
      </c>
      <c r="H310" s="21">
        <v>20000</v>
      </c>
    </row>
    <row r="311" spans="1:8" x14ac:dyDescent="0.3">
      <c r="A311" s="55">
        <v>46135</v>
      </c>
      <c r="B311" s="10" t="s">
        <v>0</v>
      </c>
      <c r="C311" s="10" t="s">
        <v>2100</v>
      </c>
      <c r="D311" s="10">
        <v>1090459</v>
      </c>
      <c r="E311" s="10" t="s">
        <v>2101</v>
      </c>
      <c r="F311" s="10" t="s">
        <v>160</v>
      </c>
      <c r="G311" s="10" t="s">
        <v>45</v>
      </c>
      <c r="H311" s="21">
        <v>20000</v>
      </c>
    </row>
    <row r="312" spans="1:8" x14ac:dyDescent="0.3">
      <c r="A312" s="55">
        <v>46135</v>
      </c>
      <c r="B312" s="10" t="s">
        <v>0</v>
      </c>
      <c r="C312" s="10" t="s">
        <v>2102</v>
      </c>
      <c r="D312" s="10">
        <v>1090416</v>
      </c>
      <c r="E312" s="10" t="s">
        <v>2103</v>
      </c>
      <c r="F312" s="10" t="s">
        <v>26</v>
      </c>
      <c r="G312" s="10" t="s">
        <v>45</v>
      </c>
      <c r="H312" s="21">
        <v>25000</v>
      </c>
    </row>
    <row r="313" spans="1:8" x14ac:dyDescent="0.3">
      <c r="A313" s="55">
        <v>46135</v>
      </c>
      <c r="B313" s="10" t="s">
        <v>0</v>
      </c>
      <c r="C313" s="10" t="s">
        <v>1985</v>
      </c>
      <c r="D313" s="10">
        <v>1090421</v>
      </c>
      <c r="E313" s="10" t="s">
        <v>1986</v>
      </c>
      <c r="F313" s="10" t="s">
        <v>26</v>
      </c>
      <c r="G313" s="10" t="s">
        <v>98</v>
      </c>
      <c r="H313" s="21">
        <v>26000</v>
      </c>
    </row>
    <row r="314" spans="1:8" x14ac:dyDescent="0.3">
      <c r="A314" s="55">
        <v>46135</v>
      </c>
      <c r="B314" s="10" t="s">
        <v>0</v>
      </c>
      <c r="C314" s="10" t="s">
        <v>1417</v>
      </c>
      <c r="D314" s="10">
        <v>1090448</v>
      </c>
      <c r="E314" s="10" t="s">
        <v>2094</v>
      </c>
      <c r="F314" s="10" t="s">
        <v>34</v>
      </c>
      <c r="G314" s="10" t="s">
        <v>195</v>
      </c>
      <c r="H314" s="21">
        <v>18000</v>
      </c>
    </row>
    <row r="315" spans="1:8" x14ac:dyDescent="0.3">
      <c r="A315" s="55">
        <v>46135</v>
      </c>
      <c r="B315" s="10" t="s">
        <v>0</v>
      </c>
      <c r="C315" s="10" t="s">
        <v>1166</v>
      </c>
      <c r="D315" s="10">
        <v>1090408</v>
      </c>
      <c r="E315" s="10" t="s">
        <v>2104</v>
      </c>
      <c r="F315" s="10" t="s">
        <v>60</v>
      </c>
      <c r="G315" s="10" t="s">
        <v>104</v>
      </c>
      <c r="H315" s="21">
        <v>3000</v>
      </c>
    </row>
    <row r="316" spans="1:8" x14ac:dyDescent="0.3">
      <c r="A316" s="55">
        <v>46135</v>
      </c>
      <c r="B316" s="10" t="s">
        <v>0</v>
      </c>
      <c r="C316" s="10" t="s">
        <v>271</v>
      </c>
      <c r="D316" s="10">
        <v>1090465</v>
      </c>
      <c r="E316" s="10" t="s">
        <v>2105</v>
      </c>
      <c r="F316" s="10" t="s">
        <v>26</v>
      </c>
      <c r="G316" s="10" t="s">
        <v>104</v>
      </c>
      <c r="H316" s="21">
        <v>3000</v>
      </c>
    </row>
    <row r="317" spans="1:8" x14ac:dyDescent="0.3">
      <c r="A317" s="55">
        <v>46135</v>
      </c>
      <c r="B317" s="10" t="s">
        <v>0</v>
      </c>
      <c r="C317" s="10" t="s">
        <v>271</v>
      </c>
      <c r="D317" s="10">
        <v>1090415</v>
      </c>
      <c r="E317" s="10" t="s">
        <v>2106</v>
      </c>
      <c r="F317" s="10" t="s">
        <v>34</v>
      </c>
      <c r="G317" s="10" t="s">
        <v>104</v>
      </c>
      <c r="H317" s="21">
        <v>4000</v>
      </c>
    </row>
    <row r="318" spans="1:8" x14ac:dyDescent="0.3">
      <c r="A318" s="55">
        <v>46135</v>
      </c>
      <c r="B318" s="10" t="s">
        <v>0</v>
      </c>
      <c r="C318" s="10" t="s">
        <v>117</v>
      </c>
      <c r="D318" s="10">
        <v>1090412</v>
      </c>
      <c r="E318" s="10" t="s">
        <v>2107</v>
      </c>
      <c r="F318" s="10" t="s">
        <v>26</v>
      </c>
      <c r="G318" s="10" t="s">
        <v>110</v>
      </c>
      <c r="H318" s="21">
        <v>6000</v>
      </c>
    </row>
    <row r="319" spans="1:8" x14ac:dyDescent="0.3">
      <c r="A319" s="55">
        <v>46135</v>
      </c>
      <c r="B319" s="10" t="s">
        <v>0</v>
      </c>
      <c r="C319" s="10" t="s">
        <v>114</v>
      </c>
      <c r="D319" s="10">
        <v>1090453</v>
      </c>
      <c r="E319" s="10" t="s">
        <v>2108</v>
      </c>
      <c r="F319" s="10" t="s">
        <v>26</v>
      </c>
      <c r="G319" s="10" t="s">
        <v>113</v>
      </c>
      <c r="H319" s="21">
        <v>4000</v>
      </c>
    </row>
    <row r="320" spans="1:8" x14ac:dyDescent="0.3">
      <c r="A320" s="55">
        <v>46135</v>
      </c>
      <c r="B320" s="10" t="s">
        <v>0</v>
      </c>
      <c r="C320" s="10" t="s">
        <v>862</v>
      </c>
      <c r="D320" s="10">
        <v>1090430</v>
      </c>
      <c r="E320" s="10" t="s">
        <v>2109</v>
      </c>
      <c r="F320" s="10" t="s">
        <v>26</v>
      </c>
      <c r="G320" s="10" t="s">
        <v>113</v>
      </c>
      <c r="H320" s="21">
        <v>4000</v>
      </c>
    </row>
    <row r="321" spans="1:8" x14ac:dyDescent="0.3">
      <c r="A321" s="55">
        <v>46135</v>
      </c>
      <c r="B321" s="10" t="s">
        <v>0</v>
      </c>
      <c r="C321" s="10" t="s">
        <v>2110</v>
      </c>
      <c r="D321" s="10">
        <v>1090402</v>
      </c>
      <c r="E321" s="10" t="s">
        <v>2111</v>
      </c>
      <c r="F321" s="10" t="s">
        <v>26</v>
      </c>
      <c r="G321" s="10" t="s">
        <v>116</v>
      </c>
      <c r="H321" s="21">
        <v>5000</v>
      </c>
    </row>
    <row r="322" spans="1:8" x14ac:dyDescent="0.3">
      <c r="A322" s="55">
        <v>46135</v>
      </c>
      <c r="B322" s="10" t="s">
        <v>0</v>
      </c>
      <c r="C322" s="10" t="s">
        <v>271</v>
      </c>
      <c r="D322" s="10">
        <v>1090405</v>
      </c>
      <c r="E322" s="10" t="s">
        <v>2112</v>
      </c>
      <c r="F322" s="10" t="s">
        <v>26</v>
      </c>
      <c r="G322" s="10" t="s">
        <v>119</v>
      </c>
      <c r="H322" s="21">
        <v>3000</v>
      </c>
    </row>
    <row r="323" spans="1:8" x14ac:dyDescent="0.3">
      <c r="A323" s="55">
        <v>46135</v>
      </c>
      <c r="B323" s="10" t="s">
        <v>0</v>
      </c>
      <c r="C323" s="10" t="s">
        <v>125</v>
      </c>
      <c r="D323" s="10">
        <v>1090443</v>
      </c>
      <c r="E323" s="10" t="s">
        <v>2113</v>
      </c>
      <c r="F323" s="10" t="s">
        <v>79</v>
      </c>
      <c r="G323" s="10" t="s">
        <v>124</v>
      </c>
      <c r="H323" s="21">
        <v>4000</v>
      </c>
    </row>
    <row r="324" spans="1:8" x14ac:dyDescent="0.3">
      <c r="A324" s="55">
        <v>46135</v>
      </c>
      <c r="B324" s="10" t="s">
        <v>0</v>
      </c>
      <c r="C324" s="10" t="s">
        <v>125</v>
      </c>
      <c r="D324" s="10">
        <v>1090468</v>
      </c>
      <c r="E324" s="10" t="s">
        <v>2114</v>
      </c>
      <c r="F324" s="10" t="s">
        <v>34</v>
      </c>
      <c r="G324" s="10" t="s">
        <v>124</v>
      </c>
      <c r="H324" s="21">
        <v>4000</v>
      </c>
    </row>
    <row r="325" spans="1:8" x14ac:dyDescent="0.3">
      <c r="A325" s="55">
        <v>46135</v>
      </c>
      <c r="B325" s="10" t="s">
        <v>0</v>
      </c>
      <c r="C325" s="10" t="s">
        <v>125</v>
      </c>
      <c r="D325" s="10">
        <v>1090439</v>
      </c>
      <c r="E325" s="10" t="s">
        <v>2115</v>
      </c>
      <c r="F325" s="10" t="s">
        <v>26</v>
      </c>
      <c r="G325" s="10" t="s">
        <v>124</v>
      </c>
      <c r="H325" s="21">
        <v>3000</v>
      </c>
    </row>
    <row r="326" spans="1:8" x14ac:dyDescent="0.3">
      <c r="A326" s="55">
        <v>46135</v>
      </c>
      <c r="B326" s="10" t="s">
        <v>0</v>
      </c>
      <c r="C326" s="10" t="s">
        <v>127</v>
      </c>
      <c r="D326" s="10">
        <v>1090472</v>
      </c>
      <c r="E326" s="10" t="s">
        <v>2116</v>
      </c>
      <c r="F326" s="10" t="s">
        <v>34</v>
      </c>
      <c r="G326" s="10" t="s">
        <v>134</v>
      </c>
      <c r="H326" s="21">
        <v>4000</v>
      </c>
    </row>
    <row r="327" spans="1:8" x14ac:dyDescent="0.3">
      <c r="A327" s="55">
        <v>46135</v>
      </c>
      <c r="B327" s="10" t="s">
        <v>0</v>
      </c>
      <c r="C327" s="10" t="s">
        <v>125</v>
      </c>
      <c r="D327" s="10">
        <v>1090449</v>
      </c>
      <c r="E327" s="10" t="s">
        <v>2117</v>
      </c>
      <c r="F327" s="10" t="s">
        <v>482</v>
      </c>
      <c r="G327" s="10" t="s">
        <v>134</v>
      </c>
      <c r="H327" s="21">
        <v>4000</v>
      </c>
    </row>
    <row r="328" spans="1:8" x14ac:dyDescent="0.3">
      <c r="A328" s="55">
        <v>46135</v>
      </c>
      <c r="B328" s="10" t="s">
        <v>0</v>
      </c>
      <c r="C328" s="10" t="s">
        <v>2118</v>
      </c>
      <c r="D328" s="10">
        <v>1090414</v>
      </c>
      <c r="E328" s="10" t="s">
        <v>2119</v>
      </c>
      <c r="F328" s="10" t="s">
        <v>26</v>
      </c>
      <c r="G328" s="10" t="s">
        <v>134</v>
      </c>
      <c r="H328" s="21">
        <v>4000</v>
      </c>
    </row>
    <row r="329" spans="1:8" x14ac:dyDescent="0.3">
      <c r="A329" s="55">
        <v>46135</v>
      </c>
      <c r="B329" s="10" t="s">
        <v>0</v>
      </c>
      <c r="C329" s="10" t="s">
        <v>105</v>
      </c>
      <c r="D329" s="10">
        <v>1090463</v>
      </c>
      <c r="E329" s="10" t="s">
        <v>2120</v>
      </c>
      <c r="F329" s="10" t="s">
        <v>26</v>
      </c>
      <c r="G329" s="10" t="s">
        <v>207</v>
      </c>
      <c r="H329" s="21">
        <v>3000</v>
      </c>
    </row>
    <row r="330" spans="1:8" x14ac:dyDescent="0.3">
      <c r="A330" s="55">
        <v>46135</v>
      </c>
      <c r="B330" s="10" t="s">
        <v>0</v>
      </c>
      <c r="C330" s="10" t="s">
        <v>367</v>
      </c>
      <c r="D330" s="10">
        <v>1090444</v>
      </c>
      <c r="E330" s="10" t="s">
        <v>2121</v>
      </c>
      <c r="F330" s="10" t="s">
        <v>26</v>
      </c>
      <c r="G330" s="10" t="s">
        <v>211</v>
      </c>
      <c r="H330" s="21">
        <v>5000</v>
      </c>
    </row>
    <row r="331" spans="1:8" x14ac:dyDescent="0.3">
      <c r="A331" s="55">
        <v>46135</v>
      </c>
      <c r="B331" s="10" t="s">
        <v>0</v>
      </c>
      <c r="C331" s="10" t="s">
        <v>367</v>
      </c>
      <c r="D331" s="10">
        <v>1090444</v>
      </c>
      <c r="E331" s="10" t="s">
        <v>2121</v>
      </c>
      <c r="F331" s="10" t="s">
        <v>26</v>
      </c>
      <c r="G331" s="10" t="s">
        <v>373</v>
      </c>
      <c r="H331" s="21">
        <v>5000</v>
      </c>
    </row>
    <row r="332" spans="1:8" x14ac:dyDescent="0.3">
      <c r="A332" s="55">
        <v>46135</v>
      </c>
      <c r="B332" s="10" t="s">
        <v>0</v>
      </c>
      <c r="C332" s="10" t="s">
        <v>114</v>
      </c>
      <c r="D332" s="10">
        <v>1090453</v>
      </c>
      <c r="E332" s="10" t="s">
        <v>2108</v>
      </c>
      <c r="F332" s="10" t="s">
        <v>26</v>
      </c>
      <c r="G332" s="10" t="s">
        <v>1342</v>
      </c>
      <c r="H332" s="21">
        <v>5000</v>
      </c>
    </row>
    <row r="333" spans="1:8" x14ac:dyDescent="0.3">
      <c r="A333" s="55">
        <v>46135</v>
      </c>
      <c r="B333" s="10" t="s">
        <v>0</v>
      </c>
      <c r="C333" s="10" t="s">
        <v>114</v>
      </c>
      <c r="D333" s="10">
        <v>1090453</v>
      </c>
      <c r="E333" s="10" t="s">
        <v>2108</v>
      </c>
      <c r="F333" s="10" t="s">
        <v>26</v>
      </c>
      <c r="G333" s="10" t="s">
        <v>141</v>
      </c>
      <c r="H333" s="21">
        <v>5000</v>
      </c>
    </row>
    <row r="334" spans="1:8" x14ac:dyDescent="0.3">
      <c r="A334" s="55">
        <v>46135</v>
      </c>
      <c r="B334" s="10" t="s">
        <v>0</v>
      </c>
      <c r="C334" s="10" t="s">
        <v>367</v>
      </c>
      <c r="D334" s="10">
        <v>1090444</v>
      </c>
      <c r="E334" s="10" t="s">
        <v>2121</v>
      </c>
      <c r="F334" s="10" t="s">
        <v>26</v>
      </c>
      <c r="G334" s="10" t="s">
        <v>141</v>
      </c>
      <c r="H334" s="21">
        <v>5000</v>
      </c>
    </row>
    <row r="335" spans="1:8" x14ac:dyDescent="0.3">
      <c r="A335" s="55">
        <v>46135</v>
      </c>
      <c r="B335" s="10" t="s">
        <v>0</v>
      </c>
      <c r="C335" s="10" t="s">
        <v>2122</v>
      </c>
      <c r="D335" s="10">
        <v>1090466</v>
      </c>
      <c r="E335" s="10" t="s">
        <v>2123</v>
      </c>
      <c r="F335" s="10" t="s">
        <v>26</v>
      </c>
      <c r="G335" s="10" t="s">
        <v>142</v>
      </c>
      <c r="H335" s="21">
        <v>2000</v>
      </c>
    </row>
    <row r="336" spans="1:8" x14ac:dyDescent="0.3">
      <c r="A336" s="55">
        <v>46135</v>
      </c>
      <c r="B336" s="10" t="s">
        <v>0</v>
      </c>
      <c r="C336" s="10" t="s">
        <v>77</v>
      </c>
      <c r="D336" s="10">
        <v>1090441</v>
      </c>
      <c r="E336" s="10" t="s">
        <v>2124</v>
      </c>
      <c r="F336" s="10" t="s">
        <v>26</v>
      </c>
      <c r="G336" s="10" t="s">
        <v>142</v>
      </c>
      <c r="H336" s="21">
        <v>2000</v>
      </c>
    </row>
    <row r="337" spans="1:8" x14ac:dyDescent="0.3">
      <c r="A337" s="55">
        <v>46135</v>
      </c>
      <c r="B337" s="10" t="s">
        <v>0</v>
      </c>
      <c r="C337" s="10" t="s">
        <v>1188</v>
      </c>
      <c r="D337" s="10">
        <v>1090436</v>
      </c>
      <c r="E337" s="10" t="s">
        <v>2125</v>
      </c>
      <c r="F337" s="10" t="s">
        <v>26</v>
      </c>
      <c r="G337" s="10" t="s">
        <v>142</v>
      </c>
      <c r="H337" s="21">
        <v>2000</v>
      </c>
    </row>
    <row r="338" spans="1:8" x14ac:dyDescent="0.3">
      <c r="A338" s="55">
        <v>46135</v>
      </c>
      <c r="B338" s="10" t="s">
        <v>0</v>
      </c>
      <c r="C338" s="10" t="s">
        <v>135</v>
      </c>
      <c r="D338" s="10">
        <v>1090437</v>
      </c>
      <c r="E338" s="10" t="s">
        <v>2126</v>
      </c>
      <c r="F338" s="10" t="s">
        <v>26</v>
      </c>
      <c r="G338" s="10" t="s">
        <v>142</v>
      </c>
      <c r="H338" s="21">
        <v>2000</v>
      </c>
    </row>
    <row r="339" spans="1:8" x14ac:dyDescent="0.3">
      <c r="A339" s="55">
        <v>46135</v>
      </c>
      <c r="B339" s="10" t="s">
        <v>0</v>
      </c>
      <c r="C339" s="10" t="s">
        <v>77</v>
      </c>
      <c r="D339" s="10">
        <v>1090404</v>
      </c>
      <c r="E339" s="10" t="s">
        <v>2127</v>
      </c>
      <c r="F339" s="10" t="s">
        <v>26</v>
      </c>
      <c r="G339" s="10" t="s">
        <v>226</v>
      </c>
      <c r="H339" s="21">
        <v>2500</v>
      </c>
    </row>
    <row r="340" spans="1:8" x14ac:dyDescent="0.3">
      <c r="A340" s="55">
        <v>46135</v>
      </c>
      <c r="B340" s="10" t="s">
        <v>0</v>
      </c>
      <c r="C340" s="10" t="s">
        <v>367</v>
      </c>
      <c r="D340" s="10">
        <v>1090444</v>
      </c>
      <c r="E340" s="10" t="s">
        <v>2121</v>
      </c>
      <c r="F340" s="10" t="s">
        <v>26</v>
      </c>
      <c r="G340" s="10" t="s">
        <v>229</v>
      </c>
      <c r="H340" s="21">
        <v>5000</v>
      </c>
    </row>
    <row r="341" spans="1:8" x14ac:dyDescent="0.3">
      <c r="A341" s="55">
        <v>46135</v>
      </c>
      <c r="B341" s="10" t="s">
        <v>0</v>
      </c>
      <c r="C341" s="10" t="s">
        <v>862</v>
      </c>
      <c r="D341" s="10">
        <v>1090413</v>
      </c>
      <c r="E341" s="10" t="s">
        <v>2128</v>
      </c>
      <c r="F341" s="10" t="s">
        <v>26</v>
      </c>
      <c r="G341" s="10" t="s">
        <v>231</v>
      </c>
      <c r="H341" s="21">
        <v>2500</v>
      </c>
    </row>
    <row r="342" spans="1:8" x14ac:dyDescent="0.3">
      <c r="A342" s="55">
        <v>46135</v>
      </c>
      <c r="B342" s="10" t="s">
        <v>0</v>
      </c>
      <c r="C342" s="10" t="s">
        <v>367</v>
      </c>
      <c r="D342" s="10">
        <v>1090444</v>
      </c>
      <c r="E342" s="10" t="s">
        <v>2121</v>
      </c>
      <c r="F342" s="10" t="s">
        <v>26</v>
      </c>
      <c r="G342" s="10" t="s">
        <v>231</v>
      </c>
      <c r="H342" s="21">
        <v>2500</v>
      </c>
    </row>
    <row r="343" spans="1:8" x14ac:dyDescent="0.3">
      <c r="A343" s="55">
        <v>46135</v>
      </c>
      <c r="B343" s="10" t="s">
        <v>0</v>
      </c>
      <c r="C343" s="10" t="s">
        <v>367</v>
      </c>
      <c r="D343" s="10">
        <v>1090444</v>
      </c>
      <c r="E343" s="10" t="s">
        <v>2121</v>
      </c>
      <c r="F343" s="10" t="s">
        <v>26</v>
      </c>
      <c r="G343" s="10" t="s">
        <v>233</v>
      </c>
      <c r="H343" s="21">
        <v>2500</v>
      </c>
    </row>
    <row r="344" spans="1:8" x14ac:dyDescent="0.3">
      <c r="A344" s="55">
        <v>46135</v>
      </c>
      <c r="B344" s="10" t="s">
        <v>0</v>
      </c>
      <c r="C344" s="10" t="s">
        <v>77</v>
      </c>
      <c r="D344" s="10">
        <v>1090451</v>
      </c>
      <c r="E344" s="10" t="s">
        <v>2129</v>
      </c>
      <c r="F344" s="10" t="s">
        <v>26</v>
      </c>
      <c r="G344" s="10" t="s">
        <v>237</v>
      </c>
      <c r="H344" s="21">
        <v>2500</v>
      </c>
    </row>
    <row r="345" spans="1:8" x14ac:dyDescent="0.3">
      <c r="A345" s="55">
        <v>46135</v>
      </c>
      <c r="B345" s="23" t="s">
        <v>9</v>
      </c>
      <c r="C345" s="23" t="s">
        <v>1567</v>
      </c>
      <c r="D345" s="23">
        <v>1090399</v>
      </c>
      <c r="E345" s="23" t="s">
        <v>2130</v>
      </c>
      <c r="F345" s="23" t="s">
        <v>26</v>
      </c>
      <c r="G345" s="23" t="s">
        <v>566</v>
      </c>
      <c r="H345" s="24">
        <v>13000</v>
      </c>
    </row>
    <row r="346" spans="1:8" x14ac:dyDescent="0.3">
      <c r="A346" s="55">
        <v>46135</v>
      </c>
      <c r="B346" s="23" t="s">
        <v>9</v>
      </c>
      <c r="C346" s="23" t="s">
        <v>2131</v>
      </c>
      <c r="D346" s="23">
        <v>1090446</v>
      </c>
      <c r="E346" s="23" t="s">
        <v>2132</v>
      </c>
      <c r="F346" s="23" t="s">
        <v>38</v>
      </c>
      <c r="G346" s="23" t="s">
        <v>499</v>
      </c>
      <c r="H346" s="24">
        <v>18000</v>
      </c>
    </row>
    <row r="347" spans="1:8" x14ac:dyDescent="0.3">
      <c r="A347" s="55">
        <v>46135</v>
      </c>
      <c r="B347" s="23" t="s">
        <v>9</v>
      </c>
      <c r="C347" s="23" t="s">
        <v>2133</v>
      </c>
      <c r="D347" s="23">
        <v>1090418</v>
      </c>
      <c r="E347" s="23" t="s">
        <v>2134</v>
      </c>
      <c r="F347" s="23" t="s">
        <v>26</v>
      </c>
      <c r="G347" s="23" t="s">
        <v>65</v>
      </c>
      <c r="H347" s="24">
        <v>12000</v>
      </c>
    </row>
    <row r="348" spans="1:8" x14ac:dyDescent="0.3">
      <c r="A348" s="55">
        <v>46135</v>
      </c>
      <c r="B348" s="23" t="s">
        <v>9</v>
      </c>
      <c r="C348" s="23" t="s">
        <v>1646</v>
      </c>
      <c r="D348" s="23">
        <v>1090447</v>
      </c>
      <c r="E348" s="23" t="s">
        <v>2135</v>
      </c>
      <c r="F348" s="23" t="s">
        <v>26</v>
      </c>
      <c r="G348" s="23" t="s">
        <v>65</v>
      </c>
      <c r="H348" s="24">
        <v>12000</v>
      </c>
    </row>
    <row r="349" spans="1:8" x14ac:dyDescent="0.3">
      <c r="A349" s="55">
        <v>46135</v>
      </c>
      <c r="B349" s="23" t="s">
        <v>9</v>
      </c>
      <c r="C349" s="23" t="s">
        <v>1646</v>
      </c>
      <c r="D349" s="23">
        <v>1090422</v>
      </c>
      <c r="E349" s="23" t="s">
        <v>2136</v>
      </c>
      <c r="F349" s="23" t="s">
        <v>26</v>
      </c>
      <c r="G349" s="23" t="s">
        <v>65</v>
      </c>
      <c r="H349" s="24">
        <v>12000</v>
      </c>
    </row>
    <row r="350" spans="1:8" x14ac:dyDescent="0.3">
      <c r="A350" s="55">
        <v>46135</v>
      </c>
      <c r="B350" s="23" t="s">
        <v>9</v>
      </c>
      <c r="C350" s="23" t="s">
        <v>158</v>
      </c>
      <c r="D350" s="23">
        <v>1090452</v>
      </c>
      <c r="E350" s="23" t="s">
        <v>2137</v>
      </c>
      <c r="F350" s="23" t="s">
        <v>201</v>
      </c>
      <c r="G350" s="23" t="s">
        <v>65</v>
      </c>
      <c r="H350" s="24">
        <v>8000</v>
      </c>
    </row>
    <row r="351" spans="1:8" x14ac:dyDescent="0.3">
      <c r="A351" s="55">
        <v>46135</v>
      </c>
      <c r="B351" s="23" t="s">
        <v>9</v>
      </c>
      <c r="C351" s="23" t="s">
        <v>739</v>
      </c>
      <c r="D351" s="23">
        <v>1090450</v>
      </c>
      <c r="E351" s="23" t="s">
        <v>2138</v>
      </c>
      <c r="F351" s="23" t="s">
        <v>60</v>
      </c>
      <c r="G351" s="23" t="s">
        <v>353</v>
      </c>
      <c r="H351" s="24">
        <v>25000</v>
      </c>
    </row>
    <row r="352" spans="1:8" x14ac:dyDescent="0.3">
      <c r="A352" s="55">
        <v>46135</v>
      </c>
      <c r="B352" s="23" t="s">
        <v>9</v>
      </c>
      <c r="C352" s="23" t="s">
        <v>727</v>
      </c>
      <c r="D352" s="23">
        <v>1090467</v>
      </c>
      <c r="E352" s="23" t="s">
        <v>2139</v>
      </c>
      <c r="F352" s="23" t="s">
        <v>482</v>
      </c>
      <c r="G352" s="23" t="s">
        <v>353</v>
      </c>
      <c r="H352" s="24">
        <v>28000</v>
      </c>
    </row>
    <row r="353" spans="1:8" x14ac:dyDescent="0.3">
      <c r="A353" s="55">
        <v>46135</v>
      </c>
      <c r="B353" s="23" t="s">
        <v>9</v>
      </c>
      <c r="C353" s="23" t="s">
        <v>471</v>
      </c>
      <c r="D353" s="23">
        <v>1090431</v>
      </c>
      <c r="E353" s="23" t="s">
        <v>2140</v>
      </c>
      <c r="F353" s="23" t="s">
        <v>305</v>
      </c>
      <c r="G353" s="23" t="s">
        <v>84</v>
      </c>
      <c r="H353" s="24">
        <v>25000</v>
      </c>
    </row>
    <row r="354" spans="1:8" x14ac:dyDescent="0.3">
      <c r="A354" s="55">
        <v>46135</v>
      </c>
      <c r="B354" s="23" t="s">
        <v>9</v>
      </c>
      <c r="C354" s="23" t="s">
        <v>1301</v>
      </c>
      <c r="D354" s="23">
        <v>1090400</v>
      </c>
      <c r="E354" s="23" t="s">
        <v>2141</v>
      </c>
      <c r="F354" s="23" t="s">
        <v>26</v>
      </c>
      <c r="G354" s="23" t="s">
        <v>104</v>
      </c>
      <c r="H354" s="24">
        <v>3000</v>
      </c>
    </row>
    <row r="355" spans="1:8" x14ac:dyDescent="0.3">
      <c r="A355" s="55">
        <v>46135</v>
      </c>
      <c r="B355" s="23" t="s">
        <v>9</v>
      </c>
      <c r="C355" s="23" t="s">
        <v>1212</v>
      </c>
      <c r="D355" s="23">
        <v>1090462</v>
      </c>
      <c r="E355" s="23" t="s">
        <v>2142</v>
      </c>
      <c r="F355" s="23" t="s">
        <v>26</v>
      </c>
      <c r="G355" s="23" t="s">
        <v>129</v>
      </c>
      <c r="H355" s="24">
        <v>3000</v>
      </c>
    </row>
    <row r="356" spans="1:8" x14ac:dyDescent="0.3">
      <c r="A356" s="55">
        <v>46135</v>
      </c>
      <c r="B356" s="23" t="s">
        <v>9</v>
      </c>
      <c r="C356" s="23" t="s">
        <v>1667</v>
      </c>
      <c r="D356" s="23">
        <v>1090417</v>
      </c>
      <c r="E356" s="23" t="s">
        <v>2143</v>
      </c>
      <c r="F356" s="23" t="s">
        <v>201</v>
      </c>
      <c r="G356" s="23" t="s">
        <v>1582</v>
      </c>
      <c r="H356" s="24">
        <v>1800</v>
      </c>
    </row>
    <row r="357" spans="1:8" x14ac:dyDescent="0.3">
      <c r="A357" s="55">
        <v>46135</v>
      </c>
      <c r="B357" s="23" t="s">
        <v>9</v>
      </c>
      <c r="C357" s="23" t="s">
        <v>174</v>
      </c>
      <c r="D357" s="23">
        <v>1090406</v>
      </c>
      <c r="E357" s="23" t="s">
        <v>2144</v>
      </c>
      <c r="F357" s="23" t="s">
        <v>26</v>
      </c>
      <c r="G357" s="23" t="s">
        <v>557</v>
      </c>
      <c r="H357" s="24">
        <v>2500</v>
      </c>
    </row>
    <row r="358" spans="1:8" x14ac:dyDescent="0.3">
      <c r="A358" s="55">
        <v>46135</v>
      </c>
      <c r="B358" s="23" t="s">
        <v>9</v>
      </c>
      <c r="C358" s="23" t="s">
        <v>471</v>
      </c>
      <c r="D358" s="23">
        <v>1090473</v>
      </c>
      <c r="E358" s="23" t="s">
        <v>2140</v>
      </c>
      <c r="F358" s="23" t="s">
        <v>305</v>
      </c>
      <c r="G358" s="23" t="s">
        <v>231</v>
      </c>
      <c r="H358" s="24">
        <v>2500</v>
      </c>
    </row>
    <row r="359" spans="1:8" x14ac:dyDescent="0.3">
      <c r="A359" s="55">
        <v>46135</v>
      </c>
      <c r="B359" s="23" t="s">
        <v>9</v>
      </c>
      <c r="C359" s="23" t="s">
        <v>174</v>
      </c>
      <c r="D359" s="23">
        <v>1090406</v>
      </c>
      <c r="E359" s="23" t="s">
        <v>2144</v>
      </c>
      <c r="F359" s="23" t="s">
        <v>26</v>
      </c>
      <c r="G359" s="23" t="s">
        <v>233</v>
      </c>
      <c r="H359" s="24">
        <v>2500</v>
      </c>
    </row>
    <row r="360" spans="1:8" x14ac:dyDescent="0.3">
      <c r="A360" s="55">
        <v>46135</v>
      </c>
      <c r="B360" s="23" t="s">
        <v>9</v>
      </c>
      <c r="C360" s="23" t="s">
        <v>1667</v>
      </c>
      <c r="D360" s="23">
        <v>1090417</v>
      </c>
      <c r="E360" s="23" t="s">
        <v>2143</v>
      </c>
      <c r="F360" s="23" t="s">
        <v>201</v>
      </c>
      <c r="G360" s="23" t="s">
        <v>233</v>
      </c>
      <c r="H360" s="24">
        <v>2500</v>
      </c>
    </row>
    <row r="361" spans="1:8" x14ac:dyDescent="0.3">
      <c r="A361" s="55">
        <v>46135</v>
      </c>
      <c r="B361" t="s">
        <v>185</v>
      </c>
      <c r="C361" t="s">
        <v>420</v>
      </c>
      <c r="D361">
        <v>1090464</v>
      </c>
      <c r="E361" t="s">
        <v>2145</v>
      </c>
      <c r="F361" t="s">
        <v>26</v>
      </c>
      <c r="G361" t="s">
        <v>51</v>
      </c>
      <c r="H361" s="16">
        <v>15000</v>
      </c>
    </row>
    <row r="362" spans="1:8" x14ac:dyDescent="0.3">
      <c r="A362" s="55">
        <v>46135</v>
      </c>
      <c r="B362" t="s">
        <v>185</v>
      </c>
      <c r="C362" t="s">
        <v>189</v>
      </c>
      <c r="D362">
        <v>1090401</v>
      </c>
      <c r="E362" t="s">
        <v>2146</v>
      </c>
      <c r="F362" t="s">
        <v>26</v>
      </c>
      <c r="G362" t="s">
        <v>71</v>
      </c>
      <c r="H362" s="16">
        <v>6500</v>
      </c>
    </row>
    <row r="363" spans="1:8" x14ac:dyDescent="0.3">
      <c r="A363" s="55">
        <v>46135</v>
      </c>
      <c r="B363" t="s">
        <v>185</v>
      </c>
      <c r="C363" t="s">
        <v>2147</v>
      </c>
      <c r="D363">
        <v>1090426</v>
      </c>
      <c r="E363" t="s">
        <v>2148</v>
      </c>
      <c r="F363" t="s">
        <v>26</v>
      </c>
      <c r="G363" t="s">
        <v>2149</v>
      </c>
      <c r="H363" s="16">
        <v>32000</v>
      </c>
    </row>
    <row r="364" spans="1:8" x14ac:dyDescent="0.3">
      <c r="A364" s="55">
        <v>46135</v>
      </c>
      <c r="B364" t="s">
        <v>185</v>
      </c>
      <c r="C364" t="s">
        <v>1580</v>
      </c>
      <c r="D364">
        <v>1090438</v>
      </c>
      <c r="E364" t="s">
        <v>2150</v>
      </c>
      <c r="F364" t="s">
        <v>26</v>
      </c>
      <c r="G364" t="s">
        <v>316</v>
      </c>
      <c r="H364" s="16">
        <v>20000</v>
      </c>
    </row>
    <row r="365" spans="1:8" x14ac:dyDescent="0.3">
      <c r="A365" s="55">
        <v>46135</v>
      </c>
      <c r="B365" t="s">
        <v>185</v>
      </c>
      <c r="C365" t="s">
        <v>208</v>
      </c>
      <c r="D365">
        <v>1090424</v>
      </c>
      <c r="E365" t="s">
        <v>2151</v>
      </c>
      <c r="F365" t="s">
        <v>26</v>
      </c>
      <c r="G365" t="s">
        <v>84</v>
      </c>
      <c r="H365" s="16">
        <v>20000</v>
      </c>
    </row>
    <row r="366" spans="1:8" x14ac:dyDescent="0.3">
      <c r="A366" s="55">
        <v>46135</v>
      </c>
      <c r="B366" t="s">
        <v>185</v>
      </c>
      <c r="C366" t="s">
        <v>902</v>
      </c>
      <c r="D366">
        <v>1090435</v>
      </c>
      <c r="E366" t="s">
        <v>2152</v>
      </c>
      <c r="F366" t="s">
        <v>26</v>
      </c>
      <c r="G366" t="s">
        <v>45</v>
      </c>
      <c r="H366" s="16">
        <v>25000</v>
      </c>
    </row>
    <row r="367" spans="1:8" x14ac:dyDescent="0.3">
      <c r="A367" s="55">
        <v>46135</v>
      </c>
      <c r="B367" t="s">
        <v>185</v>
      </c>
      <c r="C367" t="s">
        <v>186</v>
      </c>
      <c r="D367">
        <v>1090403</v>
      </c>
      <c r="E367" t="s">
        <v>2153</v>
      </c>
      <c r="F367" t="s">
        <v>26</v>
      </c>
      <c r="G367" t="s">
        <v>195</v>
      </c>
      <c r="H367" s="16">
        <v>20000</v>
      </c>
    </row>
    <row r="368" spans="1:8" x14ac:dyDescent="0.3">
      <c r="A368" s="55">
        <v>46135</v>
      </c>
      <c r="B368" t="s">
        <v>185</v>
      </c>
      <c r="C368" t="s">
        <v>330</v>
      </c>
      <c r="D368">
        <v>1090398</v>
      </c>
      <c r="E368" t="s">
        <v>2154</v>
      </c>
      <c r="F368" t="s">
        <v>26</v>
      </c>
      <c r="G368" t="s">
        <v>124</v>
      </c>
      <c r="H368" s="16">
        <v>3000</v>
      </c>
    </row>
    <row r="369" spans="1:8" x14ac:dyDescent="0.3">
      <c r="A369" s="55">
        <v>46135</v>
      </c>
      <c r="B369" t="s">
        <v>185</v>
      </c>
      <c r="C369" t="s">
        <v>205</v>
      </c>
      <c r="D369">
        <v>1090397</v>
      </c>
      <c r="E369" t="s">
        <v>2155</v>
      </c>
      <c r="F369" t="s">
        <v>26</v>
      </c>
      <c r="G369" t="s">
        <v>124</v>
      </c>
      <c r="H369" s="16">
        <v>3000</v>
      </c>
    </row>
    <row r="370" spans="1:8" x14ac:dyDescent="0.3">
      <c r="A370" s="55">
        <v>46135</v>
      </c>
      <c r="B370" t="s">
        <v>185</v>
      </c>
      <c r="C370" t="s">
        <v>2156</v>
      </c>
      <c r="D370">
        <v>1090455</v>
      </c>
      <c r="E370" t="s">
        <v>2157</v>
      </c>
      <c r="F370" t="s">
        <v>26</v>
      </c>
      <c r="G370" t="s">
        <v>142</v>
      </c>
      <c r="H370" s="16">
        <v>1200</v>
      </c>
    </row>
    <row r="371" spans="1:8" x14ac:dyDescent="0.3">
      <c r="A371" s="55">
        <v>46135</v>
      </c>
      <c r="B371" t="s">
        <v>185</v>
      </c>
      <c r="C371" t="s">
        <v>2156</v>
      </c>
      <c r="D371">
        <v>1090456</v>
      </c>
      <c r="E371" t="s">
        <v>2158</v>
      </c>
      <c r="F371" t="s">
        <v>26</v>
      </c>
      <c r="G371" t="s">
        <v>142</v>
      </c>
      <c r="H371" s="16">
        <v>1200</v>
      </c>
    </row>
    <row r="372" spans="1:8" x14ac:dyDescent="0.3">
      <c r="A372" s="55">
        <v>46135</v>
      </c>
      <c r="B372" t="s">
        <v>185</v>
      </c>
      <c r="C372" t="s">
        <v>2156</v>
      </c>
      <c r="D372">
        <v>1090457</v>
      </c>
      <c r="E372" t="s">
        <v>2159</v>
      </c>
      <c r="F372" t="s">
        <v>26</v>
      </c>
      <c r="G372" t="s">
        <v>142</v>
      </c>
      <c r="H372" s="16">
        <v>1200</v>
      </c>
    </row>
    <row r="373" spans="1:8" x14ac:dyDescent="0.3">
      <c r="A373" s="55">
        <v>46135</v>
      </c>
      <c r="B373" t="s">
        <v>185</v>
      </c>
      <c r="C373" t="s">
        <v>208</v>
      </c>
      <c r="D373">
        <v>1090396</v>
      </c>
      <c r="E373" t="s">
        <v>2160</v>
      </c>
      <c r="F373" t="s">
        <v>210</v>
      </c>
      <c r="G373" t="s">
        <v>222</v>
      </c>
      <c r="H373" s="16">
        <v>2000</v>
      </c>
    </row>
    <row r="374" spans="1:8" x14ac:dyDescent="0.3">
      <c r="A374" s="55">
        <v>46135</v>
      </c>
      <c r="B374" t="s">
        <v>185</v>
      </c>
      <c r="C374" t="s">
        <v>902</v>
      </c>
      <c r="D374">
        <v>1090432</v>
      </c>
      <c r="E374" t="s">
        <v>2161</v>
      </c>
      <c r="F374" t="s">
        <v>26</v>
      </c>
      <c r="G374" t="s">
        <v>229</v>
      </c>
      <c r="H374" s="16">
        <v>2500</v>
      </c>
    </row>
    <row r="375" spans="1:8" x14ac:dyDescent="0.3">
      <c r="A375" s="55">
        <v>46135</v>
      </c>
      <c r="B375" t="s">
        <v>185</v>
      </c>
      <c r="C375" t="s">
        <v>902</v>
      </c>
      <c r="D375">
        <v>1090435</v>
      </c>
      <c r="E375" t="s">
        <v>2152</v>
      </c>
      <c r="F375" t="s">
        <v>26</v>
      </c>
      <c r="G375" t="s">
        <v>231</v>
      </c>
      <c r="H375" s="16">
        <v>2500</v>
      </c>
    </row>
    <row r="376" spans="1:8" x14ac:dyDescent="0.3">
      <c r="A376" s="55">
        <v>46135</v>
      </c>
      <c r="B376" t="s">
        <v>185</v>
      </c>
      <c r="C376" t="s">
        <v>902</v>
      </c>
      <c r="D376">
        <v>1090435</v>
      </c>
      <c r="E376" t="s">
        <v>2152</v>
      </c>
      <c r="F376" t="s">
        <v>26</v>
      </c>
      <c r="G376" t="s">
        <v>233</v>
      </c>
      <c r="H376" s="16">
        <v>2500</v>
      </c>
    </row>
    <row r="377" spans="1:8" x14ac:dyDescent="0.3">
      <c r="A377" s="55">
        <v>46136</v>
      </c>
      <c r="B377" s="18" t="s">
        <v>11</v>
      </c>
      <c r="C377" s="18" t="s">
        <v>2162</v>
      </c>
      <c r="D377" s="18">
        <v>1090487</v>
      </c>
      <c r="E377" s="18" t="s">
        <v>2163</v>
      </c>
      <c r="F377" s="18" t="s">
        <v>2164</v>
      </c>
      <c r="G377" s="18" t="s">
        <v>465</v>
      </c>
      <c r="H377" s="27">
        <v>14000</v>
      </c>
    </row>
    <row r="378" spans="1:8" x14ac:dyDescent="0.3">
      <c r="A378" s="55">
        <v>46136</v>
      </c>
      <c r="B378" s="18" t="s">
        <v>11</v>
      </c>
      <c r="C378" s="18" t="s">
        <v>2165</v>
      </c>
      <c r="D378" s="18">
        <v>1090492</v>
      </c>
      <c r="E378" s="18" t="s">
        <v>2166</v>
      </c>
      <c r="F378" s="18" t="s">
        <v>26</v>
      </c>
      <c r="G378" s="18" t="s">
        <v>27</v>
      </c>
      <c r="H378" s="27">
        <v>12000</v>
      </c>
    </row>
    <row r="379" spans="1:8" x14ac:dyDescent="0.3">
      <c r="A379" s="55">
        <v>46136</v>
      </c>
      <c r="B379" s="18" t="s">
        <v>11</v>
      </c>
      <c r="C379" s="18" t="s">
        <v>2167</v>
      </c>
      <c r="D379" s="18">
        <v>1090499</v>
      </c>
      <c r="E379" s="18" t="s">
        <v>2168</v>
      </c>
      <c r="F379" s="18" t="s">
        <v>26</v>
      </c>
      <c r="G379" s="18" t="s">
        <v>2169</v>
      </c>
      <c r="H379" s="27">
        <v>12000</v>
      </c>
    </row>
    <row r="380" spans="1:8" x14ac:dyDescent="0.3">
      <c r="A380" s="55">
        <v>46136</v>
      </c>
      <c r="B380" s="18" t="s">
        <v>11</v>
      </c>
      <c r="C380" s="18" t="s">
        <v>2170</v>
      </c>
      <c r="D380" s="18">
        <v>1090537</v>
      </c>
      <c r="E380" s="18" t="s">
        <v>2171</v>
      </c>
      <c r="F380" s="18" t="s">
        <v>26</v>
      </c>
      <c r="G380" s="18" t="s">
        <v>2172</v>
      </c>
      <c r="H380" s="27">
        <v>12000</v>
      </c>
    </row>
    <row r="381" spans="1:8" x14ac:dyDescent="0.3">
      <c r="A381" s="55">
        <v>46136</v>
      </c>
      <c r="B381" s="18" t="s">
        <v>11</v>
      </c>
      <c r="C381" s="18" t="s">
        <v>487</v>
      </c>
      <c r="D381" s="18">
        <v>1090535</v>
      </c>
      <c r="E381" s="18" t="s">
        <v>2173</v>
      </c>
      <c r="F381" s="18" t="s">
        <v>26</v>
      </c>
      <c r="G381" s="18" t="s">
        <v>39</v>
      </c>
      <c r="H381" s="27">
        <v>20000</v>
      </c>
    </row>
    <row r="382" spans="1:8" x14ac:dyDescent="0.3">
      <c r="A382" s="55">
        <v>46136</v>
      </c>
      <c r="B382" s="18" t="s">
        <v>11</v>
      </c>
      <c r="C382" s="18" t="s">
        <v>2174</v>
      </c>
      <c r="D382" s="18">
        <v>1090476</v>
      </c>
      <c r="E382" s="18" t="s">
        <v>2175</v>
      </c>
      <c r="F382" s="18" t="s">
        <v>26</v>
      </c>
      <c r="G382" s="18" t="s">
        <v>84</v>
      </c>
      <c r="H382" s="27">
        <v>20000</v>
      </c>
    </row>
    <row r="383" spans="1:8" x14ac:dyDescent="0.3">
      <c r="A383" s="55">
        <v>46136</v>
      </c>
      <c r="B383" s="18" t="s">
        <v>11</v>
      </c>
      <c r="C383" s="18" t="s">
        <v>2176</v>
      </c>
      <c r="D383" s="18">
        <v>1090485</v>
      </c>
      <c r="E383" s="18" t="s">
        <v>2177</v>
      </c>
      <c r="F383" s="18" t="s">
        <v>26</v>
      </c>
      <c r="G383" s="18" t="s">
        <v>45</v>
      </c>
      <c r="H383" s="27">
        <v>25000</v>
      </c>
    </row>
    <row r="384" spans="1:8" x14ac:dyDescent="0.3">
      <c r="A384" s="55">
        <v>46136</v>
      </c>
      <c r="B384" s="18" t="s">
        <v>11</v>
      </c>
      <c r="C384" s="18" t="s">
        <v>395</v>
      </c>
      <c r="D384" s="18">
        <v>1090559</v>
      </c>
      <c r="E384" s="18" t="s">
        <v>2178</v>
      </c>
      <c r="F384" s="18" t="s">
        <v>1398</v>
      </c>
      <c r="G384" s="18" t="s">
        <v>195</v>
      </c>
      <c r="H384" s="27">
        <v>25000</v>
      </c>
    </row>
    <row r="385" spans="1:8" x14ac:dyDescent="0.3">
      <c r="A385" s="55">
        <v>46136</v>
      </c>
      <c r="B385" s="18" t="s">
        <v>2179</v>
      </c>
      <c r="C385" s="18" t="s">
        <v>487</v>
      </c>
      <c r="D385" s="18">
        <v>1090509</v>
      </c>
      <c r="E385" s="18" t="s">
        <v>2180</v>
      </c>
      <c r="F385" s="18" t="s">
        <v>26</v>
      </c>
      <c r="G385" s="18" t="s">
        <v>39</v>
      </c>
      <c r="H385" s="27">
        <v>20000</v>
      </c>
    </row>
    <row r="386" spans="1:8" x14ac:dyDescent="0.3">
      <c r="A386" s="55">
        <v>46136</v>
      </c>
      <c r="B386" s="18" t="s">
        <v>11</v>
      </c>
      <c r="C386" s="18" t="s">
        <v>36</v>
      </c>
      <c r="D386" s="18">
        <v>1090530</v>
      </c>
      <c r="E386" s="18" t="s">
        <v>2181</v>
      </c>
      <c r="F386" s="18" t="s">
        <v>64</v>
      </c>
      <c r="G386" s="18" t="s">
        <v>168</v>
      </c>
      <c r="H386" s="27">
        <v>18000</v>
      </c>
    </row>
    <row r="387" spans="1:8" x14ac:dyDescent="0.3">
      <c r="A387" s="55">
        <v>46136</v>
      </c>
      <c r="B387" s="18" t="s">
        <v>11</v>
      </c>
      <c r="C387" s="18" t="s">
        <v>2182</v>
      </c>
      <c r="D387" s="18">
        <v>1090477</v>
      </c>
      <c r="E387" s="18" t="s">
        <v>2183</v>
      </c>
      <c r="F387" s="18" t="s">
        <v>26</v>
      </c>
      <c r="G387" s="18" t="s">
        <v>113</v>
      </c>
      <c r="H387" s="27">
        <v>4000</v>
      </c>
    </row>
    <row r="388" spans="1:8" x14ac:dyDescent="0.3">
      <c r="A388" s="55">
        <v>46136</v>
      </c>
      <c r="B388" s="10" t="s">
        <v>0</v>
      </c>
      <c r="C388" s="10" t="s">
        <v>1930</v>
      </c>
      <c r="D388" s="10">
        <v>1090548</v>
      </c>
      <c r="E388" s="10" t="s">
        <v>2184</v>
      </c>
      <c r="F388" s="10" t="s">
        <v>26</v>
      </c>
      <c r="G388" s="10" t="s">
        <v>48</v>
      </c>
      <c r="H388" s="29">
        <v>2500</v>
      </c>
    </row>
    <row r="389" spans="1:8" x14ac:dyDescent="0.3">
      <c r="A389" s="55">
        <v>46136</v>
      </c>
      <c r="B389" s="10" t="s">
        <v>0</v>
      </c>
      <c r="C389" s="10" t="s">
        <v>1876</v>
      </c>
      <c r="D389" s="10">
        <v>1090558</v>
      </c>
      <c r="E389" s="10" t="s">
        <v>2185</v>
      </c>
      <c r="F389" s="10" t="s">
        <v>26</v>
      </c>
      <c r="G389" s="10" t="s">
        <v>1706</v>
      </c>
      <c r="H389" s="29">
        <v>20000</v>
      </c>
    </row>
    <row r="390" spans="1:8" x14ac:dyDescent="0.3">
      <c r="A390" s="55">
        <v>46136</v>
      </c>
      <c r="B390" s="10" t="s">
        <v>0</v>
      </c>
      <c r="C390" s="10" t="s">
        <v>2186</v>
      </c>
      <c r="D390" s="10">
        <v>1090526</v>
      </c>
      <c r="E390" s="10" t="s">
        <v>2187</v>
      </c>
      <c r="F390" s="10" t="s">
        <v>26</v>
      </c>
      <c r="G390" s="10" t="s">
        <v>360</v>
      </c>
      <c r="H390" s="29">
        <v>29000</v>
      </c>
    </row>
    <row r="391" spans="1:8" x14ac:dyDescent="0.3">
      <c r="A391" s="55">
        <v>46136</v>
      </c>
      <c r="B391" s="10" t="s">
        <v>0</v>
      </c>
      <c r="C391" s="10" t="s">
        <v>77</v>
      </c>
      <c r="D391" s="10">
        <v>1090497</v>
      </c>
      <c r="E391" s="10" t="s">
        <v>2188</v>
      </c>
      <c r="F391" s="10" t="s">
        <v>26</v>
      </c>
      <c r="G391" s="10" t="s">
        <v>719</v>
      </c>
      <c r="H391" s="29">
        <v>15000</v>
      </c>
    </row>
    <row r="392" spans="1:8" x14ac:dyDescent="0.3">
      <c r="A392" s="55">
        <v>46136</v>
      </c>
      <c r="B392" s="10" t="s">
        <v>0</v>
      </c>
      <c r="C392" s="10" t="s">
        <v>77</v>
      </c>
      <c r="D392" s="10">
        <v>1090542</v>
      </c>
      <c r="E392" s="10" t="s">
        <v>2189</v>
      </c>
      <c r="F392" s="10" t="s">
        <v>34</v>
      </c>
      <c r="G392" s="10" t="s">
        <v>51</v>
      </c>
      <c r="H392" s="29">
        <v>18000</v>
      </c>
    </row>
    <row r="393" spans="1:8" x14ac:dyDescent="0.3">
      <c r="A393" s="55">
        <v>46136</v>
      </c>
      <c r="B393" s="10" t="s">
        <v>0</v>
      </c>
      <c r="C393" s="10" t="s">
        <v>77</v>
      </c>
      <c r="D393" s="10">
        <v>1090497</v>
      </c>
      <c r="E393" s="10" t="s">
        <v>2188</v>
      </c>
      <c r="F393" s="10" t="s">
        <v>26</v>
      </c>
      <c r="G393" s="10" t="s">
        <v>54</v>
      </c>
      <c r="H393" s="29">
        <v>14000</v>
      </c>
    </row>
    <row r="394" spans="1:8" x14ac:dyDescent="0.3">
      <c r="A394" s="55">
        <v>46136</v>
      </c>
      <c r="B394" s="10" t="s">
        <v>0</v>
      </c>
      <c r="C394" s="10" t="s">
        <v>1138</v>
      </c>
      <c r="D394" s="10">
        <v>1090517</v>
      </c>
      <c r="E394" s="10" t="s">
        <v>2190</v>
      </c>
      <c r="F394" s="10" t="s">
        <v>26</v>
      </c>
      <c r="G394" s="10" t="s">
        <v>61</v>
      </c>
      <c r="H394" s="29">
        <v>14000</v>
      </c>
    </row>
    <row r="395" spans="1:8" x14ac:dyDescent="0.3">
      <c r="A395" s="55">
        <v>46136</v>
      </c>
      <c r="B395" s="10" t="s">
        <v>0</v>
      </c>
      <c r="C395" s="10" t="s">
        <v>2191</v>
      </c>
      <c r="D395" s="10">
        <v>1090484</v>
      </c>
      <c r="E395" s="10" t="s">
        <v>2192</v>
      </c>
      <c r="F395" s="10" t="s">
        <v>34</v>
      </c>
      <c r="G395" s="10" t="s">
        <v>1778</v>
      </c>
      <c r="H395" s="29">
        <v>36000</v>
      </c>
    </row>
    <row r="396" spans="1:8" x14ac:dyDescent="0.3">
      <c r="A396" s="55">
        <v>46136</v>
      </c>
      <c r="B396" s="10" t="s">
        <v>0</v>
      </c>
      <c r="C396" s="10" t="s">
        <v>2193</v>
      </c>
      <c r="D396" s="10">
        <v>1090514</v>
      </c>
      <c r="E396" s="10" t="s">
        <v>2194</v>
      </c>
      <c r="F396" s="10" t="s">
        <v>26</v>
      </c>
      <c r="G396" s="10" t="s">
        <v>74</v>
      </c>
      <c r="H396" s="29">
        <v>20000</v>
      </c>
    </row>
    <row r="397" spans="1:8" x14ac:dyDescent="0.3">
      <c r="A397" s="55">
        <v>46136</v>
      </c>
      <c r="B397" s="10" t="s">
        <v>0</v>
      </c>
      <c r="C397" s="10" t="s">
        <v>72</v>
      </c>
      <c r="D397" s="10">
        <v>1090495</v>
      </c>
      <c r="E397" s="10" t="s">
        <v>2195</v>
      </c>
      <c r="F397" s="10" t="s">
        <v>60</v>
      </c>
      <c r="G397" s="10" t="s">
        <v>74</v>
      </c>
      <c r="H397" s="29">
        <v>18000</v>
      </c>
    </row>
    <row r="398" spans="1:8" x14ac:dyDescent="0.3">
      <c r="A398" s="55">
        <v>46136</v>
      </c>
      <c r="B398" s="10" t="s">
        <v>0</v>
      </c>
      <c r="C398" s="10" t="s">
        <v>1794</v>
      </c>
      <c r="D398" s="10">
        <v>1090504</v>
      </c>
      <c r="E398" s="10" t="s">
        <v>2196</v>
      </c>
      <c r="F398" s="10" t="s">
        <v>26</v>
      </c>
      <c r="G398" s="10" t="s">
        <v>39</v>
      </c>
      <c r="H398" s="29">
        <v>20000</v>
      </c>
    </row>
    <row r="399" spans="1:8" x14ac:dyDescent="0.3">
      <c r="A399" s="55">
        <v>46136</v>
      </c>
      <c r="B399" s="10" t="s">
        <v>0</v>
      </c>
      <c r="C399" s="10" t="s">
        <v>2197</v>
      </c>
      <c r="D399" s="10">
        <v>1090560</v>
      </c>
      <c r="E399" s="10" t="s">
        <v>2198</v>
      </c>
      <c r="F399" s="10" t="s">
        <v>34</v>
      </c>
      <c r="G399" s="10" t="s">
        <v>84</v>
      </c>
      <c r="H399" s="29">
        <v>18000</v>
      </c>
    </row>
    <row r="400" spans="1:8" x14ac:dyDescent="0.3">
      <c r="A400" s="55">
        <v>46136</v>
      </c>
      <c r="B400" s="10" t="s">
        <v>0</v>
      </c>
      <c r="C400" s="10" t="s">
        <v>283</v>
      </c>
      <c r="D400" s="10">
        <v>1090491</v>
      </c>
      <c r="E400" s="10" t="s">
        <v>2199</v>
      </c>
      <c r="F400" s="10" t="s">
        <v>26</v>
      </c>
      <c r="G400" s="10" t="s">
        <v>45</v>
      </c>
      <c r="H400" s="29">
        <v>25000</v>
      </c>
    </row>
    <row r="401" spans="1:8" x14ac:dyDescent="0.3">
      <c r="A401" s="55">
        <v>46136</v>
      </c>
      <c r="B401" s="10" t="s">
        <v>0</v>
      </c>
      <c r="C401" s="10" t="s">
        <v>2200</v>
      </c>
      <c r="D401" s="10">
        <v>1090505</v>
      </c>
      <c r="E401" s="10" t="s">
        <v>2201</v>
      </c>
      <c r="F401" s="10" t="s">
        <v>26</v>
      </c>
      <c r="G401" s="10" t="s">
        <v>793</v>
      </c>
      <c r="H401" s="29">
        <v>20000</v>
      </c>
    </row>
    <row r="402" spans="1:8" x14ac:dyDescent="0.3">
      <c r="A402" s="55">
        <v>46136</v>
      </c>
      <c r="B402" s="10" t="s">
        <v>0</v>
      </c>
      <c r="C402" s="10" t="s">
        <v>271</v>
      </c>
      <c r="D402" s="10">
        <v>1090482</v>
      </c>
      <c r="E402" s="10" t="s">
        <v>2202</v>
      </c>
      <c r="F402" s="10" t="s">
        <v>26</v>
      </c>
      <c r="G402" s="10" t="s">
        <v>104</v>
      </c>
      <c r="H402" s="29">
        <v>3000</v>
      </c>
    </row>
    <row r="403" spans="1:8" x14ac:dyDescent="0.3">
      <c r="A403" s="55">
        <v>46136</v>
      </c>
      <c r="B403" s="10" t="s">
        <v>0</v>
      </c>
      <c r="C403" s="10" t="s">
        <v>77</v>
      </c>
      <c r="D403" s="10">
        <v>1090541</v>
      </c>
      <c r="E403" s="10" t="s">
        <v>2203</v>
      </c>
      <c r="F403" s="10" t="s">
        <v>26</v>
      </c>
      <c r="G403" s="10" t="s">
        <v>104</v>
      </c>
      <c r="H403" s="29">
        <v>3000</v>
      </c>
    </row>
    <row r="404" spans="1:8" x14ac:dyDescent="0.3">
      <c r="A404" s="55">
        <v>46136</v>
      </c>
      <c r="B404" s="10" t="s">
        <v>0</v>
      </c>
      <c r="C404" s="10" t="s">
        <v>1422</v>
      </c>
      <c r="D404" s="10">
        <v>1090507</v>
      </c>
      <c r="E404" s="10" t="s">
        <v>2204</v>
      </c>
      <c r="F404" s="10" t="s">
        <v>26</v>
      </c>
      <c r="G404" s="10" t="s">
        <v>104</v>
      </c>
      <c r="H404" s="29">
        <v>3000</v>
      </c>
    </row>
    <row r="405" spans="1:8" x14ac:dyDescent="0.3">
      <c r="A405" s="55">
        <v>46136</v>
      </c>
      <c r="B405" s="10" t="s">
        <v>0</v>
      </c>
      <c r="C405" s="10" t="s">
        <v>1930</v>
      </c>
      <c r="D405" s="10">
        <v>1090548</v>
      </c>
      <c r="E405" s="10" t="s">
        <v>2184</v>
      </c>
      <c r="F405" s="10" t="s">
        <v>26</v>
      </c>
      <c r="G405" s="10" t="s">
        <v>104</v>
      </c>
      <c r="H405" s="29">
        <v>3000</v>
      </c>
    </row>
    <row r="406" spans="1:8" x14ac:dyDescent="0.3">
      <c r="A406" s="55">
        <v>46136</v>
      </c>
      <c r="B406" s="10" t="s">
        <v>0</v>
      </c>
      <c r="C406" s="10" t="s">
        <v>935</v>
      </c>
      <c r="D406" s="10">
        <v>1090527</v>
      </c>
      <c r="E406" s="10" t="s">
        <v>2205</v>
      </c>
      <c r="F406" s="10" t="s">
        <v>64</v>
      </c>
      <c r="G406" s="10" t="s">
        <v>104</v>
      </c>
      <c r="H406" s="29">
        <v>4000</v>
      </c>
    </row>
    <row r="407" spans="1:8" x14ac:dyDescent="0.3">
      <c r="A407" s="55">
        <v>46136</v>
      </c>
      <c r="B407" s="10" t="s">
        <v>0</v>
      </c>
      <c r="C407" s="10" t="s">
        <v>694</v>
      </c>
      <c r="D407" s="10">
        <v>1090532</v>
      </c>
      <c r="E407" s="10" t="s">
        <v>2206</v>
      </c>
      <c r="F407" s="10" t="s">
        <v>160</v>
      </c>
      <c r="G407" s="10" t="s">
        <v>837</v>
      </c>
      <c r="H407" s="29">
        <v>10000</v>
      </c>
    </row>
    <row r="408" spans="1:8" x14ac:dyDescent="0.3">
      <c r="A408" s="55">
        <v>46136</v>
      </c>
      <c r="B408" s="10" t="s">
        <v>0</v>
      </c>
      <c r="C408" s="10" t="s">
        <v>1408</v>
      </c>
      <c r="D408" s="10">
        <v>1090528</v>
      </c>
      <c r="E408" s="10" t="s">
        <v>2207</v>
      </c>
      <c r="F408" s="10" t="s">
        <v>26</v>
      </c>
      <c r="G408" s="10" t="s">
        <v>837</v>
      </c>
      <c r="H408" s="29">
        <v>8000</v>
      </c>
    </row>
    <row r="409" spans="1:8" x14ac:dyDescent="0.3">
      <c r="A409" s="55">
        <v>46136</v>
      </c>
      <c r="B409" s="10" t="s">
        <v>0</v>
      </c>
      <c r="C409" s="10" t="s">
        <v>798</v>
      </c>
      <c r="D409" s="10">
        <v>1090478</v>
      </c>
      <c r="E409" s="10" t="s">
        <v>2208</v>
      </c>
      <c r="F409" s="10" t="s">
        <v>26</v>
      </c>
      <c r="G409" s="10" t="s">
        <v>116</v>
      </c>
      <c r="H409" s="29">
        <v>5000</v>
      </c>
    </row>
    <row r="410" spans="1:8" x14ac:dyDescent="0.3">
      <c r="A410" s="55">
        <v>46136</v>
      </c>
      <c r="B410" s="10" t="s">
        <v>0</v>
      </c>
      <c r="C410" s="10" t="s">
        <v>1134</v>
      </c>
      <c r="D410" s="10">
        <v>1090490</v>
      </c>
      <c r="E410" s="10" t="s">
        <v>2190</v>
      </c>
      <c r="F410" s="10" t="s">
        <v>26</v>
      </c>
      <c r="G410" s="10" t="s">
        <v>116</v>
      </c>
      <c r="H410" s="29">
        <v>5000</v>
      </c>
    </row>
    <row r="411" spans="1:8" x14ac:dyDescent="0.3">
      <c r="A411" s="55">
        <v>46136</v>
      </c>
      <c r="B411" s="10" t="s">
        <v>0</v>
      </c>
      <c r="C411" s="10" t="s">
        <v>1188</v>
      </c>
      <c r="D411" s="10">
        <v>1090496</v>
      </c>
      <c r="E411" s="10" t="s">
        <v>2209</v>
      </c>
      <c r="F411" s="10" t="s">
        <v>26</v>
      </c>
      <c r="G411" s="10" t="s">
        <v>285</v>
      </c>
      <c r="H411" s="29">
        <v>4000</v>
      </c>
    </row>
    <row r="412" spans="1:8" x14ac:dyDescent="0.3">
      <c r="A412" s="55">
        <v>46136</v>
      </c>
      <c r="B412" s="10" t="s">
        <v>0</v>
      </c>
      <c r="C412" s="10" t="s">
        <v>127</v>
      </c>
      <c r="D412" s="10">
        <v>1090522</v>
      </c>
      <c r="E412" s="10" t="s">
        <v>2210</v>
      </c>
      <c r="F412" s="10" t="s">
        <v>201</v>
      </c>
      <c r="G412" s="10" t="s">
        <v>124</v>
      </c>
      <c r="H412" s="29">
        <v>3800</v>
      </c>
    </row>
    <row r="413" spans="1:8" x14ac:dyDescent="0.3">
      <c r="A413" s="55">
        <v>46136</v>
      </c>
      <c r="B413" s="10" t="s">
        <v>0</v>
      </c>
      <c r="C413" s="10" t="s">
        <v>122</v>
      </c>
      <c r="D413" s="10">
        <v>1090545</v>
      </c>
      <c r="E413" s="10" t="s">
        <v>2211</v>
      </c>
      <c r="F413" s="10" t="s">
        <v>26</v>
      </c>
      <c r="G413" s="10" t="s">
        <v>124</v>
      </c>
      <c r="H413" s="29">
        <v>3000</v>
      </c>
    </row>
    <row r="414" spans="1:8" x14ac:dyDescent="0.3">
      <c r="A414" s="55">
        <v>46136</v>
      </c>
      <c r="B414" s="10" t="s">
        <v>0</v>
      </c>
      <c r="C414" s="10" t="s">
        <v>127</v>
      </c>
      <c r="D414" s="10">
        <v>1090519</v>
      </c>
      <c r="E414" s="10" t="s">
        <v>2212</v>
      </c>
      <c r="F414" s="10" t="s">
        <v>201</v>
      </c>
      <c r="G414" s="10" t="s">
        <v>124</v>
      </c>
      <c r="H414" s="29">
        <v>4000</v>
      </c>
    </row>
    <row r="415" spans="1:8" x14ac:dyDescent="0.3">
      <c r="A415" s="55">
        <v>46136</v>
      </c>
      <c r="B415" s="10" t="s">
        <v>0</v>
      </c>
      <c r="C415" s="10" t="s">
        <v>127</v>
      </c>
      <c r="D415" s="10">
        <v>1090524</v>
      </c>
      <c r="E415" s="10" t="s">
        <v>2210</v>
      </c>
      <c r="F415" s="10" t="s">
        <v>26</v>
      </c>
      <c r="G415" s="10" t="s">
        <v>124</v>
      </c>
      <c r="H415" s="10">
        <v>200</v>
      </c>
    </row>
    <row r="416" spans="1:8" x14ac:dyDescent="0.3">
      <c r="A416" s="55">
        <v>46136</v>
      </c>
      <c r="B416" s="10" t="s">
        <v>0</v>
      </c>
      <c r="C416" s="10" t="s">
        <v>127</v>
      </c>
      <c r="D416" s="10">
        <v>1090557</v>
      </c>
      <c r="E416" s="10" t="s">
        <v>2213</v>
      </c>
      <c r="F416" s="10" t="s">
        <v>198</v>
      </c>
      <c r="G416" s="10" t="s">
        <v>129</v>
      </c>
      <c r="H416" s="29">
        <v>4000</v>
      </c>
    </row>
    <row r="417" spans="1:8" x14ac:dyDescent="0.3">
      <c r="A417" s="55">
        <v>46136</v>
      </c>
      <c r="B417" s="10" t="s">
        <v>0</v>
      </c>
      <c r="C417" s="10" t="s">
        <v>125</v>
      </c>
      <c r="D417" s="10">
        <v>1090534</v>
      </c>
      <c r="E417" s="10" t="s">
        <v>2214</v>
      </c>
      <c r="F417" s="10" t="s">
        <v>26</v>
      </c>
      <c r="G417" s="10" t="s">
        <v>129</v>
      </c>
      <c r="H417" s="29">
        <v>3000</v>
      </c>
    </row>
    <row r="418" spans="1:8" x14ac:dyDescent="0.3">
      <c r="A418" s="55">
        <v>46136</v>
      </c>
      <c r="B418" s="10" t="s">
        <v>0</v>
      </c>
      <c r="C418" s="10" t="s">
        <v>2215</v>
      </c>
      <c r="D418" s="10">
        <v>1090536</v>
      </c>
      <c r="E418" s="10" t="s">
        <v>2216</v>
      </c>
      <c r="F418" s="10" t="s">
        <v>64</v>
      </c>
      <c r="G418" s="10" t="s">
        <v>134</v>
      </c>
      <c r="H418" s="29">
        <v>4000</v>
      </c>
    </row>
    <row r="419" spans="1:8" x14ac:dyDescent="0.3">
      <c r="A419" s="55">
        <v>46136</v>
      </c>
      <c r="B419" s="10" t="s">
        <v>0</v>
      </c>
      <c r="C419" s="10" t="s">
        <v>268</v>
      </c>
      <c r="D419" s="10">
        <v>1090518</v>
      </c>
      <c r="E419" s="10" t="s">
        <v>2217</v>
      </c>
      <c r="F419" s="10" t="s">
        <v>26</v>
      </c>
      <c r="G419" s="10" t="s">
        <v>292</v>
      </c>
      <c r="H419" s="29">
        <v>3000</v>
      </c>
    </row>
    <row r="420" spans="1:8" x14ac:dyDescent="0.3">
      <c r="A420" s="55">
        <v>46136</v>
      </c>
      <c r="B420" s="10" t="s">
        <v>0</v>
      </c>
      <c r="C420" s="10" t="s">
        <v>802</v>
      </c>
      <c r="D420" s="10">
        <v>1090544</v>
      </c>
      <c r="E420" s="10" t="s">
        <v>2218</v>
      </c>
      <c r="F420" s="10" t="s">
        <v>411</v>
      </c>
      <c r="G420" s="10" t="s">
        <v>292</v>
      </c>
      <c r="H420" s="29">
        <v>4000</v>
      </c>
    </row>
    <row r="421" spans="1:8" x14ac:dyDescent="0.3">
      <c r="A421" s="55">
        <v>46136</v>
      </c>
      <c r="B421" s="10" t="s">
        <v>0</v>
      </c>
      <c r="C421" s="10" t="s">
        <v>1934</v>
      </c>
      <c r="D421" s="10">
        <v>1090510</v>
      </c>
      <c r="E421" s="10" t="s">
        <v>2219</v>
      </c>
      <c r="F421" s="10" t="s">
        <v>26</v>
      </c>
      <c r="G421" s="10" t="s">
        <v>141</v>
      </c>
      <c r="H421" s="29">
        <v>5000</v>
      </c>
    </row>
    <row r="422" spans="1:8" x14ac:dyDescent="0.3">
      <c r="A422" s="55">
        <v>46136</v>
      </c>
      <c r="B422" s="10" t="s">
        <v>0</v>
      </c>
      <c r="C422" s="10" t="s">
        <v>1794</v>
      </c>
      <c r="D422" s="10">
        <v>1090504</v>
      </c>
      <c r="E422" s="10" t="s">
        <v>2196</v>
      </c>
      <c r="F422" s="10" t="s">
        <v>26</v>
      </c>
      <c r="G422" s="10" t="s">
        <v>141</v>
      </c>
      <c r="H422" s="29">
        <v>5000</v>
      </c>
    </row>
    <row r="423" spans="1:8" x14ac:dyDescent="0.3">
      <c r="A423" s="55">
        <v>46136</v>
      </c>
      <c r="B423" s="10" t="s">
        <v>0</v>
      </c>
      <c r="C423" s="10" t="s">
        <v>2220</v>
      </c>
      <c r="D423" s="10">
        <v>1090551</v>
      </c>
      <c r="E423" s="10" t="s">
        <v>2221</v>
      </c>
      <c r="F423" s="10" t="s">
        <v>26</v>
      </c>
      <c r="G423" s="10" t="s">
        <v>555</v>
      </c>
      <c r="H423" s="29">
        <v>2500</v>
      </c>
    </row>
    <row r="424" spans="1:8" x14ac:dyDescent="0.3">
      <c r="A424" s="55">
        <v>46136</v>
      </c>
      <c r="B424" s="10" t="s">
        <v>0</v>
      </c>
      <c r="C424" s="10" t="s">
        <v>143</v>
      </c>
      <c r="D424" s="10">
        <v>1090480</v>
      </c>
      <c r="E424" s="10" t="s">
        <v>2222</v>
      </c>
      <c r="F424" s="10" t="s">
        <v>26</v>
      </c>
      <c r="G424" s="10" t="s">
        <v>142</v>
      </c>
      <c r="H424" s="29">
        <v>2000</v>
      </c>
    </row>
    <row r="425" spans="1:8" x14ac:dyDescent="0.3">
      <c r="A425" s="55">
        <v>46136</v>
      </c>
      <c r="B425" s="10" t="s">
        <v>0</v>
      </c>
      <c r="C425" s="10" t="s">
        <v>135</v>
      </c>
      <c r="D425" s="10">
        <v>1090556</v>
      </c>
      <c r="E425" s="10" t="s">
        <v>2223</v>
      </c>
      <c r="F425" s="10" t="s">
        <v>34</v>
      </c>
      <c r="G425" s="10" t="s">
        <v>231</v>
      </c>
      <c r="H425" s="29">
        <v>2500</v>
      </c>
    </row>
    <row r="426" spans="1:8" x14ac:dyDescent="0.3">
      <c r="A426" s="55">
        <v>46136</v>
      </c>
      <c r="B426" s="10" t="s">
        <v>0</v>
      </c>
      <c r="C426" s="10" t="s">
        <v>135</v>
      </c>
      <c r="D426" s="10">
        <v>1090556</v>
      </c>
      <c r="E426" s="10" t="s">
        <v>2223</v>
      </c>
      <c r="F426" s="10" t="s">
        <v>34</v>
      </c>
      <c r="G426" s="10" t="s">
        <v>233</v>
      </c>
      <c r="H426" s="29">
        <v>2500</v>
      </c>
    </row>
    <row r="427" spans="1:8" x14ac:dyDescent="0.3">
      <c r="A427" s="55">
        <v>46136</v>
      </c>
      <c r="B427" s="23" t="s">
        <v>9</v>
      </c>
      <c r="C427" s="23" t="s">
        <v>998</v>
      </c>
      <c r="D427" s="23">
        <v>1090540</v>
      </c>
      <c r="E427" s="23" t="s">
        <v>2224</v>
      </c>
      <c r="F427" s="23" t="s">
        <v>26</v>
      </c>
      <c r="G427" s="23" t="s">
        <v>84</v>
      </c>
      <c r="H427" s="30">
        <v>20000</v>
      </c>
    </row>
    <row r="428" spans="1:8" x14ac:dyDescent="0.3">
      <c r="A428" s="55">
        <v>46136</v>
      </c>
      <c r="B428" s="23" t="s">
        <v>9</v>
      </c>
      <c r="C428" s="23" t="s">
        <v>871</v>
      </c>
      <c r="D428" s="23">
        <v>1090538</v>
      </c>
      <c r="E428" s="23" t="s">
        <v>2225</v>
      </c>
      <c r="F428" s="23" t="s">
        <v>201</v>
      </c>
      <c r="G428" s="23" t="s">
        <v>566</v>
      </c>
      <c r="H428" s="30">
        <v>10000</v>
      </c>
    </row>
    <row r="429" spans="1:8" x14ac:dyDescent="0.3">
      <c r="A429" s="55">
        <v>46136</v>
      </c>
      <c r="B429" s="23" t="s">
        <v>9</v>
      </c>
      <c r="C429" s="23" t="s">
        <v>2131</v>
      </c>
      <c r="D429" s="23">
        <v>1090525</v>
      </c>
      <c r="E429" s="23" t="s">
        <v>2226</v>
      </c>
      <c r="F429" s="23" t="s">
        <v>198</v>
      </c>
      <c r="G429" s="23" t="s">
        <v>405</v>
      </c>
      <c r="H429" s="30">
        <v>15000</v>
      </c>
    </row>
    <row r="430" spans="1:8" x14ac:dyDescent="0.3">
      <c r="A430" s="55">
        <v>46136</v>
      </c>
      <c r="B430" s="23" t="s">
        <v>9</v>
      </c>
      <c r="C430" s="23" t="s">
        <v>1920</v>
      </c>
      <c r="D430" s="23">
        <v>1090481</v>
      </c>
      <c r="E430" s="23" t="s">
        <v>1002</v>
      </c>
      <c r="F430" s="23" t="s">
        <v>26</v>
      </c>
      <c r="G430" s="23" t="s">
        <v>61</v>
      </c>
      <c r="H430" s="30">
        <v>14000</v>
      </c>
    </row>
    <row r="431" spans="1:8" x14ac:dyDescent="0.3">
      <c r="A431" s="55">
        <v>46136</v>
      </c>
      <c r="B431" s="23" t="s">
        <v>9</v>
      </c>
      <c r="C431" s="23" t="s">
        <v>2227</v>
      </c>
      <c r="D431" s="23">
        <v>1090547</v>
      </c>
      <c r="E431" s="23" t="s">
        <v>2228</v>
      </c>
      <c r="F431" s="23" t="s">
        <v>26</v>
      </c>
      <c r="G431" s="23" t="s">
        <v>65</v>
      </c>
      <c r="H431" s="30">
        <v>12000</v>
      </c>
    </row>
    <row r="432" spans="1:8" x14ac:dyDescent="0.3">
      <c r="A432" s="55">
        <v>46136</v>
      </c>
      <c r="B432" s="23" t="s">
        <v>9</v>
      </c>
      <c r="C432" s="23" t="s">
        <v>722</v>
      </c>
      <c r="D432" s="23">
        <v>1090550</v>
      </c>
      <c r="E432" s="23" t="s">
        <v>2229</v>
      </c>
      <c r="F432" s="23" t="s">
        <v>201</v>
      </c>
      <c r="G432" s="23" t="s">
        <v>65</v>
      </c>
      <c r="H432" s="30">
        <v>8000</v>
      </c>
    </row>
    <row r="433" spans="1:8" x14ac:dyDescent="0.3">
      <c r="A433" s="55">
        <v>46136</v>
      </c>
      <c r="B433" s="23" t="s">
        <v>9</v>
      </c>
      <c r="C433" s="23" t="s">
        <v>180</v>
      </c>
      <c r="D433" s="23">
        <v>1090475</v>
      </c>
      <c r="E433" s="23" t="s">
        <v>2230</v>
      </c>
      <c r="F433" s="23" t="s">
        <v>26</v>
      </c>
      <c r="G433" s="23" t="s">
        <v>31</v>
      </c>
      <c r="H433" s="30">
        <v>7500</v>
      </c>
    </row>
    <row r="434" spans="1:8" x14ac:dyDescent="0.3">
      <c r="A434" s="55">
        <v>46136</v>
      </c>
      <c r="B434" s="23" t="s">
        <v>9</v>
      </c>
      <c r="C434" s="23" t="s">
        <v>424</v>
      </c>
      <c r="D434" s="23">
        <v>1090516</v>
      </c>
      <c r="E434" s="23" t="s">
        <v>2231</v>
      </c>
      <c r="F434" s="23" t="s">
        <v>397</v>
      </c>
      <c r="G434" s="23" t="s">
        <v>74</v>
      </c>
      <c r="H434" s="30">
        <v>22000</v>
      </c>
    </row>
    <row r="435" spans="1:8" x14ac:dyDescent="0.3">
      <c r="A435" s="55">
        <v>46136</v>
      </c>
      <c r="B435" s="23" t="s">
        <v>9</v>
      </c>
      <c r="C435" s="23" t="s">
        <v>2232</v>
      </c>
      <c r="D435" s="23">
        <v>1090501</v>
      </c>
      <c r="E435" s="23" t="s">
        <v>2233</v>
      </c>
      <c r="F435" s="23" t="s">
        <v>26</v>
      </c>
      <c r="G435" s="23" t="s">
        <v>74</v>
      </c>
      <c r="H435" s="30">
        <v>20000</v>
      </c>
    </row>
    <row r="436" spans="1:8" x14ac:dyDescent="0.3">
      <c r="A436" s="55">
        <v>46136</v>
      </c>
      <c r="B436" s="23" t="s">
        <v>9</v>
      </c>
      <c r="C436" s="23" t="s">
        <v>1078</v>
      </c>
      <c r="D436" s="23">
        <v>1090549</v>
      </c>
      <c r="E436" s="23" t="s">
        <v>2234</v>
      </c>
      <c r="F436" s="23" t="s">
        <v>26</v>
      </c>
      <c r="G436" s="23" t="s">
        <v>74</v>
      </c>
      <c r="H436" s="30">
        <v>20000</v>
      </c>
    </row>
    <row r="437" spans="1:8" x14ac:dyDescent="0.3">
      <c r="A437" s="55">
        <v>46136</v>
      </c>
      <c r="B437" s="23" t="s">
        <v>9</v>
      </c>
      <c r="C437" s="23" t="s">
        <v>1078</v>
      </c>
      <c r="D437" s="23">
        <v>1090549</v>
      </c>
      <c r="E437" s="23" t="s">
        <v>2234</v>
      </c>
      <c r="F437" s="23" t="s">
        <v>26</v>
      </c>
      <c r="G437" s="23" t="s">
        <v>316</v>
      </c>
      <c r="H437" s="30">
        <v>20000</v>
      </c>
    </row>
    <row r="438" spans="1:8" x14ac:dyDescent="0.3">
      <c r="A438" s="55">
        <v>46136</v>
      </c>
      <c r="B438" s="23" t="s">
        <v>9</v>
      </c>
      <c r="C438" s="23" t="s">
        <v>895</v>
      </c>
      <c r="D438" s="23">
        <v>1090512</v>
      </c>
      <c r="E438" s="23" t="s">
        <v>2235</v>
      </c>
      <c r="F438" s="23" t="s">
        <v>57</v>
      </c>
      <c r="G438" s="23" t="s">
        <v>39</v>
      </c>
      <c r="H438" s="30">
        <v>18000</v>
      </c>
    </row>
    <row r="439" spans="1:8" x14ac:dyDescent="0.3">
      <c r="A439" s="55">
        <v>46136</v>
      </c>
      <c r="B439" s="23" t="s">
        <v>9</v>
      </c>
      <c r="C439" s="23" t="s">
        <v>169</v>
      </c>
      <c r="D439" s="23">
        <v>1090520</v>
      </c>
      <c r="E439" s="23" t="s">
        <v>2236</v>
      </c>
      <c r="F439" s="23" t="s">
        <v>160</v>
      </c>
      <c r="G439" s="23" t="s">
        <v>39</v>
      </c>
      <c r="H439" s="30">
        <v>18000</v>
      </c>
    </row>
    <row r="440" spans="1:8" x14ac:dyDescent="0.3">
      <c r="A440" s="55">
        <v>46136</v>
      </c>
      <c r="B440" s="23" t="s">
        <v>9</v>
      </c>
      <c r="C440" s="23" t="s">
        <v>580</v>
      </c>
      <c r="D440" s="23">
        <v>1090515</v>
      </c>
      <c r="E440" s="23" t="s">
        <v>2237</v>
      </c>
      <c r="F440" s="23" t="s">
        <v>26</v>
      </c>
      <c r="G440" s="23" t="s">
        <v>84</v>
      </c>
      <c r="H440" s="30">
        <v>20000</v>
      </c>
    </row>
    <row r="441" spans="1:8" x14ac:dyDescent="0.3">
      <c r="A441" s="55">
        <v>46136</v>
      </c>
      <c r="B441" s="23" t="s">
        <v>9</v>
      </c>
      <c r="C441" s="23" t="s">
        <v>886</v>
      </c>
      <c r="D441" s="23">
        <v>1090513</v>
      </c>
      <c r="E441" s="23" t="s">
        <v>2238</v>
      </c>
      <c r="F441" s="23" t="s">
        <v>26</v>
      </c>
      <c r="G441" s="23" t="s">
        <v>84</v>
      </c>
      <c r="H441" s="30">
        <v>20000</v>
      </c>
    </row>
    <row r="442" spans="1:8" x14ac:dyDescent="0.3">
      <c r="A442" s="55">
        <v>46136</v>
      </c>
      <c r="B442" s="23" t="s">
        <v>9</v>
      </c>
      <c r="C442" s="23" t="s">
        <v>2239</v>
      </c>
      <c r="D442" s="23">
        <v>1090546</v>
      </c>
      <c r="E442" s="23" t="s">
        <v>2240</v>
      </c>
      <c r="F442" s="23" t="s">
        <v>26</v>
      </c>
      <c r="G442" s="23" t="s">
        <v>84</v>
      </c>
      <c r="H442" s="30">
        <v>20000</v>
      </c>
    </row>
    <row r="443" spans="1:8" x14ac:dyDescent="0.3">
      <c r="A443" s="55">
        <v>46136</v>
      </c>
      <c r="B443" s="23" t="s">
        <v>9</v>
      </c>
      <c r="C443" s="23" t="s">
        <v>471</v>
      </c>
      <c r="D443" s="23">
        <v>1090483</v>
      </c>
      <c r="E443" s="23" t="s">
        <v>2241</v>
      </c>
      <c r="F443" s="23" t="s">
        <v>64</v>
      </c>
      <c r="G443" s="23" t="s">
        <v>280</v>
      </c>
      <c r="H443" s="30">
        <v>55000</v>
      </c>
    </row>
    <row r="444" spans="1:8" x14ac:dyDescent="0.3">
      <c r="A444" s="55">
        <v>46136</v>
      </c>
      <c r="B444" s="23" t="s">
        <v>9</v>
      </c>
      <c r="C444" s="23" t="s">
        <v>1218</v>
      </c>
      <c r="D444" s="23">
        <v>1090553</v>
      </c>
      <c r="E444" s="23" t="s">
        <v>2242</v>
      </c>
      <c r="F444" s="23" t="s">
        <v>160</v>
      </c>
      <c r="G444" s="23" t="s">
        <v>104</v>
      </c>
      <c r="H444" s="30">
        <v>4000</v>
      </c>
    </row>
    <row r="445" spans="1:8" x14ac:dyDescent="0.3">
      <c r="A445" s="55">
        <v>46136</v>
      </c>
      <c r="B445" s="23" t="s">
        <v>9</v>
      </c>
      <c r="C445" s="23" t="s">
        <v>180</v>
      </c>
      <c r="D445" s="23">
        <v>1090475</v>
      </c>
      <c r="E445" s="23" t="s">
        <v>2230</v>
      </c>
      <c r="F445" s="23" t="s">
        <v>26</v>
      </c>
      <c r="G445" s="23" t="s">
        <v>116</v>
      </c>
      <c r="H445" s="30">
        <v>5000</v>
      </c>
    </row>
    <row r="446" spans="1:8" x14ac:dyDescent="0.3">
      <c r="A446" s="55">
        <v>46136</v>
      </c>
      <c r="B446" s="23" t="s">
        <v>9</v>
      </c>
      <c r="C446" s="23" t="s">
        <v>2243</v>
      </c>
      <c r="D446" s="23">
        <v>1090529</v>
      </c>
      <c r="E446" s="23" t="s">
        <v>2244</v>
      </c>
      <c r="F446" s="23" t="s">
        <v>26</v>
      </c>
      <c r="G446" s="23" t="s">
        <v>119</v>
      </c>
      <c r="H446" s="30">
        <v>3000</v>
      </c>
    </row>
    <row r="447" spans="1:8" x14ac:dyDescent="0.3">
      <c r="A447" s="55">
        <v>46136</v>
      </c>
      <c r="B447" s="23" t="s">
        <v>9</v>
      </c>
      <c r="C447" s="23" t="s">
        <v>169</v>
      </c>
      <c r="D447" s="23">
        <v>1090523</v>
      </c>
      <c r="E447" s="23" t="s">
        <v>2245</v>
      </c>
      <c r="F447" s="23" t="s">
        <v>160</v>
      </c>
      <c r="G447" s="23" t="s">
        <v>550</v>
      </c>
      <c r="H447" s="30">
        <v>4000</v>
      </c>
    </row>
    <row r="448" spans="1:8" x14ac:dyDescent="0.3">
      <c r="A448" s="55">
        <v>46136</v>
      </c>
      <c r="B448" s="23" t="s">
        <v>9</v>
      </c>
      <c r="C448" s="23" t="s">
        <v>895</v>
      </c>
      <c r="D448" s="23">
        <v>1090511</v>
      </c>
      <c r="E448" s="23" t="s">
        <v>2246</v>
      </c>
      <c r="F448" s="23" t="s">
        <v>26</v>
      </c>
      <c r="G448" s="23" t="s">
        <v>220</v>
      </c>
      <c r="H448" s="30">
        <v>2000</v>
      </c>
    </row>
    <row r="449" spans="1:8" x14ac:dyDescent="0.3">
      <c r="A449" s="55">
        <v>46136</v>
      </c>
      <c r="B449" s="23" t="s">
        <v>9</v>
      </c>
      <c r="C449" s="23" t="s">
        <v>1567</v>
      </c>
      <c r="D449" s="23">
        <v>1090552</v>
      </c>
      <c r="E449" s="23" t="s">
        <v>2247</v>
      </c>
      <c r="F449" s="23" t="s">
        <v>26</v>
      </c>
      <c r="G449" s="23" t="s">
        <v>184</v>
      </c>
      <c r="H449" s="30">
        <v>2500</v>
      </c>
    </row>
    <row r="450" spans="1:8" x14ac:dyDescent="0.3">
      <c r="A450" s="55">
        <v>46136</v>
      </c>
      <c r="B450" s="23" t="s">
        <v>9</v>
      </c>
      <c r="C450" s="23" t="s">
        <v>1646</v>
      </c>
      <c r="D450" s="23">
        <v>1090543</v>
      </c>
      <c r="E450" s="23" t="s">
        <v>2248</v>
      </c>
      <c r="F450" s="23" t="s">
        <v>26</v>
      </c>
      <c r="G450" s="23" t="s">
        <v>184</v>
      </c>
      <c r="H450" s="30">
        <v>2500</v>
      </c>
    </row>
    <row r="451" spans="1:8" x14ac:dyDescent="0.3">
      <c r="A451" s="55">
        <v>46136</v>
      </c>
      <c r="B451" s="23" t="s">
        <v>9</v>
      </c>
      <c r="C451" s="23" t="s">
        <v>1646</v>
      </c>
      <c r="D451" s="23">
        <v>1090531</v>
      </c>
      <c r="E451" s="23" t="s">
        <v>2249</v>
      </c>
      <c r="F451" s="23" t="s">
        <v>26</v>
      </c>
      <c r="G451" s="23" t="s">
        <v>184</v>
      </c>
      <c r="H451" s="30">
        <v>2500</v>
      </c>
    </row>
    <row r="452" spans="1:8" x14ac:dyDescent="0.3">
      <c r="A452" s="55">
        <v>46136</v>
      </c>
      <c r="B452" s="23" t="s">
        <v>9</v>
      </c>
      <c r="C452" s="23" t="s">
        <v>2250</v>
      </c>
      <c r="D452" s="23">
        <v>1090508</v>
      </c>
      <c r="E452" s="23" t="s">
        <v>2251</v>
      </c>
      <c r="F452" s="23" t="s">
        <v>26</v>
      </c>
      <c r="G452" s="23" t="s">
        <v>184</v>
      </c>
      <c r="H452" s="30">
        <v>2500</v>
      </c>
    </row>
    <row r="453" spans="1:8" x14ac:dyDescent="0.3">
      <c r="A453" s="55">
        <v>46136</v>
      </c>
      <c r="B453" t="s">
        <v>746</v>
      </c>
      <c r="C453" t="s">
        <v>189</v>
      </c>
      <c r="D453">
        <v>1090554</v>
      </c>
      <c r="E453" t="s">
        <v>2252</v>
      </c>
      <c r="F453" t="s">
        <v>26</v>
      </c>
      <c r="G453" t="s">
        <v>71</v>
      </c>
      <c r="H453" s="31">
        <v>6500</v>
      </c>
    </row>
    <row r="454" spans="1:8" x14ac:dyDescent="0.3">
      <c r="A454" s="55">
        <v>46136</v>
      </c>
      <c r="B454" t="s">
        <v>185</v>
      </c>
      <c r="C454" t="s">
        <v>186</v>
      </c>
      <c r="D454">
        <v>1090506</v>
      </c>
      <c r="E454" t="s">
        <v>2253</v>
      </c>
      <c r="F454" t="s">
        <v>201</v>
      </c>
      <c r="G454" t="s">
        <v>35</v>
      </c>
      <c r="H454" s="31">
        <v>21000</v>
      </c>
    </row>
    <row r="455" spans="1:8" x14ac:dyDescent="0.3">
      <c r="A455" s="55">
        <v>46136</v>
      </c>
      <c r="B455" t="s">
        <v>185</v>
      </c>
      <c r="C455" t="s">
        <v>186</v>
      </c>
      <c r="D455">
        <v>1090539</v>
      </c>
      <c r="E455" t="s">
        <v>2254</v>
      </c>
      <c r="F455" t="s">
        <v>26</v>
      </c>
      <c r="G455" t="s">
        <v>35</v>
      </c>
      <c r="H455" s="31">
        <v>20000</v>
      </c>
    </row>
    <row r="456" spans="1:8" x14ac:dyDescent="0.3">
      <c r="A456" s="55">
        <v>46136</v>
      </c>
      <c r="B456" t="s">
        <v>185</v>
      </c>
      <c r="C456" t="s">
        <v>186</v>
      </c>
      <c r="D456">
        <v>1090539</v>
      </c>
      <c r="E456" t="s">
        <v>2254</v>
      </c>
      <c r="F456" t="s">
        <v>26</v>
      </c>
      <c r="G456" t="s">
        <v>394</v>
      </c>
      <c r="H456" s="31">
        <v>40000</v>
      </c>
    </row>
    <row r="457" spans="1:8" x14ac:dyDescent="0.3">
      <c r="A457" s="55">
        <v>46136</v>
      </c>
      <c r="B457" t="s">
        <v>185</v>
      </c>
      <c r="C457" t="s">
        <v>610</v>
      </c>
      <c r="D457">
        <v>1090555</v>
      </c>
      <c r="E457" t="s">
        <v>2255</v>
      </c>
      <c r="F457" t="s">
        <v>160</v>
      </c>
      <c r="G457" t="s">
        <v>45</v>
      </c>
      <c r="H457" s="31">
        <v>20000</v>
      </c>
    </row>
    <row r="458" spans="1:8" x14ac:dyDescent="0.3">
      <c r="A458" s="55">
        <v>46136</v>
      </c>
      <c r="B458" t="s">
        <v>185</v>
      </c>
      <c r="C458" t="s">
        <v>902</v>
      </c>
      <c r="D458">
        <v>1090533</v>
      </c>
      <c r="E458" t="s">
        <v>2256</v>
      </c>
      <c r="F458" t="s">
        <v>198</v>
      </c>
      <c r="G458" t="s">
        <v>168</v>
      </c>
      <c r="H458" s="31">
        <v>24000</v>
      </c>
    </row>
    <row r="459" spans="1:8" x14ac:dyDescent="0.3">
      <c r="A459" s="55">
        <v>46136</v>
      </c>
      <c r="B459" t="s">
        <v>185</v>
      </c>
      <c r="C459" t="s">
        <v>205</v>
      </c>
      <c r="D459">
        <v>1090479</v>
      </c>
      <c r="E459" t="s">
        <v>2257</v>
      </c>
      <c r="F459" t="s">
        <v>26</v>
      </c>
      <c r="G459" t="s">
        <v>124</v>
      </c>
      <c r="H459" s="31">
        <v>3000</v>
      </c>
    </row>
    <row r="460" spans="1:8" x14ac:dyDescent="0.3">
      <c r="A460" s="55">
        <v>46136</v>
      </c>
      <c r="B460" t="s">
        <v>185</v>
      </c>
      <c r="C460" t="s">
        <v>189</v>
      </c>
      <c r="D460">
        <v>1090489</v>
      </c>
      <c r="E460" t="s">
        <v>2258</v>
      </c>
      <c r="F460" t="s">
        <v>26</v>
      </c>
      <c r="G460" t="s">
        <v>124</v>
      </c>
      <c r="H460" s="31">
        <v>3000</v>
      </c>
    </row>
    <row r="461" spans="1:8" x14ac:dyDescent="0.3">
      <c r="A461" s="55">
        <v>46136</v>
      </c>
      <c r="B461" t="s">
        <v>185</v>
      </c>
      <c r="C461" t="s">
        <v>330</v>
      </c>
      <c r="D461">
        <v>1090494</v>
      </c>
      <c r="E461" t="s">
        <v>2259</v>
      </c>
      <c r="F461" t="s">
        <v>26</v>
      </c>
      <c r="G461" t="s">
        <v>124</v>
      </c>
      <c r="H461" s="31">
        <v>3000</v>
      </c>
    </row>
    <row r="462" spans="1:8" x14ac:dyDescent="0.3">
      <c r="A462" s="55">
        <v>46136</v>
      </c>
      <c r="B462" t="s">
        <v>185</v>
      </c>
      <c r="C462" t="s">
        <v>205</v>
      </c>
      <c r="D462">
        <v>1090493</v>
      </c>
      <c r="E462" t="s">
        <v>2260</v>
      </c>
      <c r="F462" t="s">
        <v>26</v>
      </c>
      <c r="G462" t="s">
        <v>134</v>
      </c>
      <c r="H462" s="31">
        <v>4000</v>
      </c>
    </row>
    <row r="463" spans="1:8" x14ac:dyDescent="0.3">
      <c r="A463" s="55">
        <v>46136</v>
      </c>
      <c r="B463" t="s">
        <v>185</v>
      </c>
      <c r="C463" t="s">
        <v>330</v>
      </c>
      <c r="D463">
        <v>1090488</v>
      </c>
      <c r="E463" t="s">
        <v>2261</v>
      </c>
      <c r="F463" t="s">
        <v>26</v>
      </c>
      <c r="G463" t="s">
        <v>134</v>
      </c>
      <c r="H463" s="31">
        <v>4000</v>
      </c>
    </row>
    <row r="464" spans="1:8" x14ac:dyDescent="0.3">
      <c r="A464" s="55">
        <v>46136</v>
      </c>
      <c r="B464" t="s">
        <v>185</v>
      </c>
      <c r="C464" t="s">
        <v>330</v>
      </c>
      <c r="D464">
        <v>1090502</v>
      </c>
      <c r="E464" t="s">
        <v>2262</v>
      </c>
      <c r="F464" t="s">
        <v>26</v>
      </c>
      <c r="G464" t="s">
        <v>207</v>
      </c>
      <c r="H464" s="31">
        <v>3000</v>
      </c>
    </row>
    <row r="465" spans="1:8" x14ac:dyDescent="0.3">
      <c r="A465" s="55">
        <v>46136</v>
      </c>
      <c r="B465" t="s">
        <v>185</v>
      </c>
      <c r="C465" t="s">
        <v>186</v>
      </c>
      <c r="D465">
        <v>1090500</v>
      </c>
      <c r="E465" t="s">
        <v>2263</v>
      </c>
      <c r="F465" t="s">
        <v>60</v>
      </c>
      <c r="G465" t="s">
        <v>141</v>
      </c>
      <c r="H465" s="31">
        <v>2500</v>
      </c>
    </row>
    <row r="466" spans="1:8" x14ac:dyDescent="0.3">
      <c r="A466" s="55">
        <v>46136</v>
      </c>
      <c r="B466" t="s">
        <v>185</v>
      </c>
      <c r="C466" t="s">
        <v>186</v>
      </c>
      <c r="D466">
        <v>1090539</v>
      </c>
      <c r="E466" t="s">
        <v>2254</v>
      </c>
      <c r="F466" t="s">
        <v>26</v>
      </c>
      <c r="G466" t="s">
        <v>141</v>
      </c>
      <c r="H466" s="31">
        <v>5000</v>
      </c>
    </row>
    <row r="467" spans="1:8" x14ac:dyDescent="0.3">
      <c r="A467" s="55">
        <v>46136</v>
      </c>
      <c r="B467" t="s">
        <v>185</v>
      </c>
      <c r="C467" t="s">
        <v>189</v>
      </c>
      <c r="D467">
        <v>1090503</v>
      </c>
      <c r="E467" t="s">
        <v>2264</v>
      </c>
      <c r="F467" t="s">
        <v>26</v>
      </c>
      <c r="G467" t="s">
        <v>605</v>
      </c>
      <c r="H467" s="31">
        <v>5000</v>
      </c>
    </row>
    <row r="468" spans="1:8" x14ac:dyDescent="0.3">
      <c r="A468" s="55">
        <v>46136</v>
      </c>
      <c r="B468" t="s">
        <v>185</v>
      </c>
      <c r="C468" t="s">
        <v>186</v>
      </c>
      <c r="D468">
        <v>1090498</v>
      </c>
      <c r="E468" t="s">
        <v>2265</v>
      </c>
      <c r="F468" t="s">
        <v>34</v>
      </c>
      <c r="G468" t="s">
        <v>226</v>
      </c>
      <c r="H468" s="31">
        <v>1800</v>
      </c>
    </row>
    <row r="469" spans="1:8" x14ac:dyDescent="0.3">
      <c r="A469" s="55">
        <v>46136</v>
      </c>
      <c r="B469" t="s">
        <v>185</v>
      </c>
      <c r="C469" t="s">
        <v>186</v>
      </c>
      <c r="D469">
        <v>1090486</v>
      </c>
      <c r="E469" t="s">
        <v>2266</v>
      </c>
      <c r="F469" t="s">
        <v>64</v>
      </c>
      <c r="G469" t="s">
        <v>226</v>
      </c>
      <c r="H469" s="31">
        <v>1800</v>
      </c>
    </row>
    <row r="470" spans="1:8" x14ac:dyDescent="0.3">
      <c r="A470" s="55">
        <v>46136</v>
      </c>
      <c r="B470" t="s">
        <v>185</v>
      </c>
      <c r="C470" t="s">
        <v>186</v>
      </c>
      <c r="D470">
        <v>1090506</v>
      </c>
      <c r="E470" t="s">
        <v>2253</v>
      </c>
      <c r="F470" t="s">
        <v>201</v>
      </c>
      <c r="G470" t="s">
        <v>226</v>
      </c>
      <c r="H470" s="31">
        <v>1800</v>
      </c>
    </row>
    <row r="471" spans="1:8" x14ac:dyDescent="0.3">
      <c r="A471" s="55">
        <v>46136</v>
      </c>
      <c r="B471" t="s">
        <v>185</v>
      </c>
      <c r="C471" t="s">
        <v>487</v>
      </c>
      <c r="D471">
        <v>1090521</v>
      </c>
      <c r="E471" t="s">
        <v>2267</v>
      </c>
      <c r="F471" t="s">
        <v>201</v>
      </c>
      <c r="G471" t="s">
        <v>229</v>
      </c>
      <c r="H471" s="31">
        <v>1800</v>
      </c>
    </row>
    <row r="472" spans="1:8" x14ac:dyDescent="0.3">
      <c r="A472" s="55">
        <v>46136</v>
      </c>
      <c r="B472" t="s">
        <v>185</v>
      </c>
      <c r="C472" t="s">
        <v>189</v>
      </c>
      <c r="D472">
        <v>1090503</v>
      </c>
      <c r="E472" t="s">
        <v>2264</v>
      </c>
      <c r="F472" t="s">
        <v>26</v>
      </c>
      <c r="G472" t="s">
        <v>233</v>
      </c>
      <c r="H472" s="31">
        <v>2500</v>
      </c>
    </row>
    <row r="473" spans="1:8" x14ac:dyDescent="0.3">
      <c r="A473" s="55">
        <v>46136</v>
      </c>
      <c r="B473" t="s">
        <v>185</v>
      </c>
      <c r="C473" t="s">
        <v>186</v>
      </c>
      <c r="D473">
        <v>1090486</v>
      </c>
      <c r="E473" t="s">
        <v>2266</v>
      </c>
      <c r="F473" t="s">
        <v>64</v>
      </c>
      <c r="G473" t="s">
        <v>233</v>
      </c>
      <c r="H473" s="31">
        <v>2500</v>
      </c>
    </row>
    <row r="474" spans="1:8" x14ac:dyDescent="0.3">
      <c r="A474" s="67">
        <v>46137</v>
      </c>
      <c r="B474" s="56" t="s">
        <v>11</v>
      </c>
      <c r="C474" s="56" t="s">
        <v>24</v>
      </c>
      <c r="D474" s="56" t="s">
        <v>2270</v>
      </c>
      <c r="E474" s="56" t="s">
        <v>2271</v>
      </c>
      <c r="F474" s="56" t="s">
        <v>26</v>
      </c>
      <c r="G474" s="56" t="s">
        <v>499</v>
      </c>
      <c r="H474" s="57">
        <v>18000</v>
      </c>
    </row>
    <row r="475" spans="1:8" x14ac:dyDescent="0.3">
      <c r="A475" s="67">
        <v>46137</v>
      </c>
      <c r="B475" s="58" t="s">
        <v>11</v>
      </c>
      <c r="C475" s="56" t="s">
        <v>2272</v>
      </c>
      <c r="D475" s="56" t="s">
        <v>2273</v>
      </c>
      <c r="E475" s="56" t="s">
        <v>2274</v>
      </c>
      <c r="F475" s="56" t="s">
        <v>26</v>
      </c>
      <c r="G475" s="56" t="s">
        <v>27</v>
      </c>
      <c r="H475" s="57">
        <v>12000</v>
      </c>
    </row>
    <row r="476" spans="1:8" x14ac:dyDescent="0.3">
      <c r="A476" s="67">
        <v>46137</v>
      </c>
      <c r="B476" s="56" t="s">
        <v>11</v>
      </c>
      <c r="C476" s="58" t="s">
        <v>2275</v>
      </c>
      <c r="D476" s="56" t="s">
        <v>2276</v>
      </c>
      <c r="E476" s="56" t="s">
        <v>2277</v>
      </c>
      <c r="F476" s="56" t="s">
        <v>34</v>
      </c>
      <c r="G476" s="56" t="s">
        <v>39</v>
      </c>
      <c r="H476" s="57">
        <v>18000</v>
      </c>
    </row>
    <row r="477" spans="1:8" x14ac:dyDescent="0.3">
      <c r="A477" s="67">
        <v>46137</v>
      </c>
      <c r="B477" s="56" t="s">
        <v>11</v>
      </c>
      <c r="C477" s="56" t="s">
        <v>32</v>
      </c>
      <c r="D477" s="56" t="s">
        <v>2278</v>
      </c>
      <c r="E477" s="56" t="s">
        <v>2279</v>
      </c>
      <c r="F477" s="56" t="s">
        <v>201</v>
      </c>
      <c r="G477" s="56" t="s">
        <v>84</v>
      </c>
      <c r="H477" s="57">
        <v>21000</v>
      </c>
    </row>
    <row r="478" spans="1:8" x14ac:dyDescent="0.3">
      <c r="A478" s="67">
        <v>46137</v>
      </c>
      <c r="B478" s="59" t="s">
        <v>0</v>
      </c>
      <c r="C478" s="59" t="s">
        <v>1930</v>
      </c>
      <c r="D478" s="59" t="s">
        <v>2280</v>
      </c>
      <c r="E478" s="59" t="s">
        <v>2281</v>
      </c>
      <c r="F478" s="59" t="s">
        <v>26</v>
      </c>
      <c r="G478" s="59" t="s">
        <v>48</v>
      </c>
      <c r="H478" s="60">
        <v>2500</v>
      </c>
    </row>
    <row r="479" spans="1:8" x14ac:dyDescent="0.3">
      <c r="A479" s="67">
        <v>46137</v>
      </c>
      <c r="B479" s="59" t="s">
        <v>0</v>
      </c>
      <c r="C479" s="59" t="s">
        <v>271</v>
      </c>
      <c r="D479" s="59" t="s">
        <v>2282</v>
      </c>
      <c r="E479" s="59" t="s">
        <v>2283</v>
      </c>
      <c r="F479" s="59" t="s">
        <v>26</v>
      </c>
      <c r="G479" s="59" t="s">
        <v>51</v>
      </c>
      <c r="H479" s="60">
        <v>15000</v>
      </c>
    </row>
    <row r="480" spans="1:8" x14ac:dyDescent="0.3">
      <c r="A480" s="67">
        <v>46137</v>
      </c>
      <c r="B480" s="59" t="s">
        <v>0</v>
      </c>
      <c r="C480" s="59" t="s">
        <v>1301</v>
      </c>
      <c r="D480" s="59" t="s">
        <v>2284</v>
      </c>
      <c r="E480" s="59" t="s">
        <v>2285</v>
      </c>
      <c r="F480" s="59" t="s">
        <v>26</v>
      </c>
      <c r="G480" s="59" t="s">
        <v>54</v>
      </c>
      <c r="H480" s="60">
        <v>14000</v>
      </c>
    </row>
    <row r="481" spans="1:8" x14ac:dyDescent="0.3">
      <c r="A481" s="67">
        <v>46137</v>
      </c>
      <c r="B481" s="61" t="s">
        <v>0</v>
      </c>
      <c r="C481" s="59" t="s">
        <v>2286</v>
      </c>
      <c r="D481" s="59" t="s">
        <v>2287</v>
      </c>
      <c r="E481" s="59" t="s">
        <v>2288</v>
      </c>
      <c r="F481" s="59" t="s">
        <v>26</v>
      </c>
      <c r="G481" s="59" t="s">
        <v>71</v>
      </c>
      <c r="H481" s="60">
        <v>6500</v>
      </c>
    </row>
    <row r="482" spans="1:8" x14ac:dyDescent="0.3">
      <c r="A482" s="67">
        <v>46137</v>
      </c>
      <c r="B482" s="59" t="s">
        <v>0</v>
      </c>
      <c r="C482" s="59" t="s">
        <v>375</v>
      </c>
      <c r="D482" s="59" t="s">
        <v>2289</v>
      </c>
      <c r="E482" s="59" t="s">
        <v>2290</v>
      </c>
      <c r="F482" s="59" t="s">
        <v>201</v>
      </c>
      <c r="G482" s="59" t="s">
        <v>74</v>
      </c>
      <c r="H482" s="60">
        <v>21000</v>
      </c>
    </row>
    <row r="483" spans="1:8" x14ac:dyDescent="0.3">
      <c r="A483" s="67">
        <v>46137</v>
      </c>
      <c r="B483" s="59" t="s">
        <v>0</v>
      </c>
      <c r="C483" s="59" t="s">
        <v>77</v>
      </c>
      <c r="D483" s="59" t="s">
        <v>2291</v>
      </c>
      <c r="E483" s="59" t="s">
        <v>2292</v>
      </c>
      <c r="F483" s="59" t="s">
        <v>79</v>
      </c>
      <c r="G483" s="59" t="s">
        <v>356</v>
      </c>
      <c r="H483" s="60">
        <v>25000</v>
      </c>
    </row>
    <row r="484" spans="1:8" x14ac:dyDescent="0.3">
      <c r="A484" s="67">
        <v>46137</v>
      </c>
      <c r="B484" s="59" t="s">
        <v>0</v>
      </c>
      <c r="C484" s="59" t="s">
        <v>2293</v>
      </c>
      <c r="D484" s="59" t="s">
        <v>2294</v>
      </c>
      <c r="E484" s="59" t="s">
        <v>2295</v>
      </c>
      <c r="F484" s="59" t="s">
        <v>26</v>
      </c>
      <c r="G484" s="59" t="s">
        <v>39</v>
      </c>
      <c r="H484" s="60">
        <v>20000</v>
      </c>
    </row>
    <row r="485" spans="1:8" x14ac:dyDescent="0.3">
      <c r="A485" s="67">
        <v>46137</v>
      </c>
      <c r="B485" s="59" t="s">
        <v>0</v>
      </c>
      <c r="C485" s="59" t="s">
        <v>289</v>
      </c>
      <c r="D485" s="59" t="s">
        <v>2296</v>
      </c>
      <c r="E485" s="59" t="s">
        <v>2297</v>
      </c>
      <c r="F485" s="59" t="s">
        <v>201</v>
      </c>
      <c r="G485" s="59" t="s">
        <v>45</v>
      </c>
      <c r="H485" s="60">
        <v>24000</v>
      </c>
    </row>
    <row r="486" spans="1:8" x14ac:dyDescent="0.3">
      <c r="A486" s="67">
        <v>46137</v>
      </c>
      <c r="B486" s="61" t="s">
        <v>0</v>
      </c>
      <c r="C486" s="59" t="s">
        <v>289</v>
      </c>
      <c r="D486" s="59" t="s">
        <v>2298</v>
      </c>
      <c r="E486" s="59" t="s">
        <v>2297</v>
      </c>
      <c r="F486" s="59" t="s">
        <v>26</v>
      </c>
      <c r="G486" s="59" t="s">
        <v>45</v>
      </c>
      <c r="H486" s="59">
        <v>500</v>
      </c>
    </row>
    <row r="487" spans="1:8" x14ac:dyDescent="0.3">
      <c r="A487" s="67">
        <v>46137</v>
      </c>
      <c r="B487" s="59" t="s">
        <v>0</v>
      </c>
      <c r="C487" s="59" t="s">
        <v>820</v>
      </c>
      <c r="D487" s="59" t="s">
        <v>2299</v>
      </c>
      <c r="E487" s="59" t="s">
        <v>2300</v>
      </c>
      <c r="F487" s="59" t="s">
        <v>201</v>
      </c>
      <c r="G487" s="59" t="s">
        <v>45</v>
      </c>
      <c r="H487" s="60">
        <v>23000</v>
      </c>
    </row>
    <row r="488" spans="1:8" s="71" customFormat="1" x14ac:dyDescent="0.3">
      <c r="A488" s="68">
        <v>46137</v>
      </c>
      <c r="B488" s="69" t="s">
        <v>0</v>
      </c>
      <c r="C488" s="69" t="s">
        <v>820</v>
      </c>
      <c r="D488" s="69" t="s">
        <v>2301</v>
      </c>
      <c r="E488" s="69" t="s">
        <v>2300</v>
      </c>
      <c r="F488" s="69" t="s">
        <v>26</v>
      </c>
      <c r="G488" s="69" t="s">
        <v>45</v>
      </c>
      <c r="H488" s="70">
        <v>1000</v>
      </c>
    </row>
    <row r="489" spans="1:8" x14ac:dyDescent="0.3">
      <c r="A489" s="67">
        <v>46137</v>
      </c>
      <c r="B489" s="59" t="s">
        <v>0</v>
      </c>
      <c r="C489" s="59" t="s">
        <v>2302</v>
      </c>
      <c r="D489" s="59" t="s">
        <v>2303</v>
      </c>
      <c r="E489" s="59" t="s">
        <v>2304</v>
      </c>
      <c r="F489" s="59" t="s">
        <v>26</v>
      </c>
      <c r="G489" s="59" t="s">
        <v>45</v>
      </c>
      <c r="H489" s="60">
        <v>25000</v>
      </c>
    </row>
    <row r="490" spans="1:8" x14ac:dyDescent="0.3">
      <c r="A490" s="67">
        <v>46137</v>
      </c>
      <c r="B490" s="59" t="s">
        <v>0</v>
      </c>
      <c r="C490" s="59" t="s">
        <v>271</v>
      </c>
      <c r="D490" s="59" t="s">
        <v>2305</v>
      </c>
      <c r="E490" s="59" t="s">
        <v>2306</v>
      </c>
      <c r="F490" s="59" t="s">
        <v>26</v>
      </c>
      <c r="G490" s="59" t="s">
        <v>104</v>
      </c>
      <c r="H490" s="60">
        <v>3000</v>
      </c>
    </row>
    <row r="491" spans="1:8" x14ac:dyDescent="0.3">
      <c r="A491" s="67">
        <v>46137</v>
      </c>
      <c r="B491" s="59" t="s">
        <v>0</v>
      </c>
      <c r="C491" s="59" t="s">
        <v>1930</v>
      </c>
      <c r="D491" s="59" t="s">
        <v>2280</v>
      </c>
      <c r="E491" s="59" t="s">
        <v>2281</v>
      </c>
      <c r="F491" s="59" t="s">
        <v>26</v>
      </c>
      <c r="G491" s="59" t="s">
        <v>110</v>
      </c>
      <c r="H491" s="60">
        <v>6000</v>
      </c>
    </row>
    <row r="492" spans="1:8" x14ac:dyDescent="0.3">
      <c r="A492" s="67">
        <v>46137</v>
      </c>
      <c r="B492" s="59" t="s">
        <v>0</v>
      </c>
      <c r="C492" s="59" t="s">
        <v>709</v>
      </c>
      <c r="D492" s="59" t="s">
        <v>2307</v>
      </c>
      <c r="E492" s="59" t="s">
        <v>2308</v>
      </c>
      <c r="F492" s="59" t="s">
        <v>26</v>
      </c>
      <c r="G492" s="59" t="s">
        <v>337</v>
      </c>
      <c r="H492" s="60">
        <v>4000</v>
      </c>
    </row>
    <row r="493" spans="1:8" x14ac:dyDescent="0.3">
      <c r="A493" s="67">
        <v>46137</v>
      </c>
      <c r="B493" s="61" t="s">
        <v>0</v>
      </c>
      <c r="C493" s="61" t="s">
        <v>1138</v>
      </c>
      <c r="D493" s="59" t="s">
        <v>2309</v>
      </c>
      <c r="E493" s="59" t="s">
        <v>2310</v>
      </c>
      <c r="F493" s="59" t="s">
        <v>26</v>
      </c>
      <c r="G493" s="59" t="s">
        <v>116</v>
      </c>
      <c r="H493" s="60">
        <v>5000</v>
      </c>
    </row>
    <row r="494" spans="1:8" x14ac:dyDescent="0.3">
      <c r="A494" s="67">
        <v>46137</v>
      </c>
      <c r="B494" s="59" t="s">
        <v>0</v>
      </c>
      <c r="C494" s="59" t="s">
        <v>125</v>
      </c>
      <c r="D494" s="59" t="s">
        <v>2311</v>
      </c>
      <c r="E494" s="59" t="s">
        <v>2312</v>
      </c>
      <c r="F494" s="59" t="s">
        <v>160</v>
      </c>
      <c r="G494" s="59" t="s">
        <v>124</v>
      </c>
      <c r="H494" s="60">
        <v>4000</v>
      </c>
    </row>
    <row r="495" spans="1:8" x14ac:dyDescent="0.3">
      <c r="A495" s="67">
        <v>46137</v>
      </c>
      <c r="B495" s="59" t="s">
        <v>0</v>
      </c>
      <c r="C495" s="59" t="s">
        <v>125</v>
      </c>
      <c r="D495" s="59" t="s">
        <v>2313</v>
      </c>
      <c r="E495" s="59" t="s">
        <v>2314</v>
      </c>
      <c r="F495" s="59" t="s">
        <v>26</v>
      </c>
      <c r="G495" s="59" t="s">
        <v>124</v>
      </c>
      <c r="H495" s="60">
        <v>3000</v>
      </c>
    </row>
    <row r="496" spans="1:8" x14ac:dyDescent="0.3">
      <c r="A496" s="67">
        <v>46137</v>
      </c>
      <c r="B496" s="61" t="s">
        <v>0</v>
      </c>
      <c r="C496" s="59" t="s">
        <v>125</v>
      </c>
      <c r="D496" s="59" t="s">
        <v>2315</v>
      </c>
      <c r="E496" s="59" t="s">
        <v>2316</v>
      </c>
      <c r="F496" s="59" t="s">
        <v>26</v>
      </c>
      <c r="G496" s="59" t="s">
        <v>124</v>
      </c>
      <c r="H496" s="60">
        <v>3000</v>
      </c>
    </row>
    <row r="497" spans="1:8" x14ac:dyDescent="0.3">
      <c r="A497" s="67">
        <v>46137</v>
      </c>
      <c r="B497" s="59" t="s">
        <v>0</v>
      </c>
      <c r="C497" s="59" t="s">
        <v>125</v>
      </c>
      <c r="D497" s="59" t="s">
        <v>2317</v>
      </c>
      <c r="E497" s="59" t="s">
        <v>2318</v>
      </c>
      <c r="F497" s="59" t="s">
        <v>26</v>
      </c>
      <c r="G497" s="59" t="s">
        <v>124</v>
      </c>
      <c r="H497" s="60">
        <v>3000</v>
      </c>
    </row>
    <row r="498" spans="1:8" x14ac:dyDescent="0.3">
      <c r="A498" s="67">
        <v>46137</v>
      </c>
      <c r="B498" s="59" t="s">
        <v>0</v>
      </c>
      <c r="C498" s="59" t="s">
        <v>130</v>
      </c>
      <c r="D498" s="59" t="s">
        <v>2319</v>
      </c>
      <c r="E498" s="59" t="s">
        <v>2320</v>
      </c>
      <c r="F498" s="59" t="s">
        <v>201</v>
      </c>
      <c r="G498" s="59" t="s">
        <v>124</v>
      </c>
      <c r="H498" s="60">
        <v>4000</v>
      </c>
    </row>
    <row r="499" spans="1:8" x14ac:dyDescent="0.3">
      <c r="A499" s="67">
        <v>46137</v>
      </c>
      <c r="B499" s="59" t="s">
        <v>0</v>
      </c>
      <c r="C499" s="59" t="s">
        <v>125</v>
      </c>
      <c r="D499" s="59" t="s">
        <v>2321</v>
      </c>
      <c r="E499" s="59" t="s">
        <v>2322</v>
      </c>
      <c r="F499" s="59" t="s">
        <v>411</v>
      </c>
      <c r="G499" s="59" t="s">
        <v>129</v>
      </c>
      <c r="H499" s="60">
        <v>4000</v>
      </c>
    </row>
    <row r="500" spans="1:8" x14ac:dyDescent="0.3">
      <c r="A500" s="67">
        <v>46137</v>
      </c>
      <c r="B500" s="59" t="s">
        <v>0</v>
      </c>
      <c r="C500" s="61" t="s">
        <v>1138</v>
      </c>
      <c r="D500" s="59" t="s">
        <v>2309</v>
      </c>
      <c r="E500" s="59" t="s">
        <v>2310</v>
      </c>
      <c r="F500" s="59" t="s">
        <v>26</v>
      </c>
      <c r="G500" s="59" t="s">
        <v>2323</v>
      </c>
      <c r="H500" s="60">
        <v>5000</v>
      </c>
    </row>
    <row r="501" spans="1:8" x14ac:dyDescent="0.3">
      <c r="A501" s="67">
        <v>46137</v>
      </c>
      <c r="B501" s="62" t="s">
        <v>9</v>
      </c>
      <c r="C501" s="63" t="s">
        <v>739</v>
      </c>
      <c r="D501" s="63" t="s">
        <v>2324</v>
      </c>
      <c r="E501" s="63" t="s">
        <v>2325</v>
      </c>
      <c r="F501" s="63" t="s">
        <v>26</v>
      </c>
      <c r="G501" s="63" t="s">
        <v>74</v>
      </c>
      <c r="H501" s="64">
        <v>20000</v>
      </c>
    </row>
    <row r="502" spans="1:8" x14ac:dyDescent="0.3">
      <c r="A502" s="67">
        <v>46137</v>
      </c>
      <c r="B502" s="63" t="s">
        <v>9</v>
      </c>
      <c r="C502" s="63" t="s">
        <v>2326</v>
      </c>
      <c r="D502" s="63" t="s">
        <v>2327</v>
      </c>
      <c r="E502" s="63" t="s">
        <v>2328</v>
      </c>
      <c r="F502" s="63" t="s">
        <v>160</v>
      </c>
      <c r="G502" s="63" t="s">
        <v>39</v>
      </c>
      <c r="H502" s="64">
        <v>18000</v>
      </c>
    </row>
    <row r="503" spans="1:8" x14ac:dyDescent="0.3">
      <c r="A503" s="67">
        <v>46137</v>
      </c>
      <c r="B503" s="63" t="s">
        <v>9</v>
      </c>
      <c r="C503" s="63" t="s">
        <v>1009</v>
      </c>
      <c r="D503" s="63" t="s">
        <v>2329</v>
      </c>
      <c r="E503" s="63" t="s">
        <v>2330</v>
      </c>
      <c r="F503" s="63" t="s">
        <v>26</v>
      </c>
      <c r="G503" s="63" t="s">
        <v>124</v>
      </c>
      <c r="H503" s="64">
        <v>3000</v>
      </c>
    </row>
    <row r="504" spans="1:8" x14ac:dyDescent="0.3">
      <c r="A504" s="67">
        <v>46137</v>
      </c>
      <c r="B504" s="63" t="s">
        <v>9</v>
      </c>
      <c r="C504" s="63" t="s">
        <v>1009</v>
      </c>
      <c r="D504" s="63" t="s">
        <v>2331</v>
      </c>
      <c r="E504" s="63" t="s">
        <v>2332</v>
      </c>
      <c r="F504" s="63" t="s">
        <v>64</v>
      </c>
      <c r="G504" s="63" t="s">
        <v>124</v>
      </c>
      <c r="H504" s="64">
        <v>4000</v>
      </c>
    </row>
    <row r="505" spans="1:8" x14ac:dyDescent="0.3">
      <c r="A505" s="67">
        <v>46137</v>
      </c>
      <c r="B505" s="63" t="s">
        <v>9</v>
      </c>
      <c r="C505" s="63" t="s">
        <v>866</v>
      </c>
      <c r="D505" s="63" t="s">
        <v>2333</v>
      </c>
      <c r="E505" s="63" t="s">
        <v>2334</v>
      </c>
      <c r="F505" s="63" t="s">
        <v>64</v>
      </c>
      <c r="G505" s="63" t="s">
        <v>292</v>
      </c>
      <c r="H505" s="64">
        <v>4000</v>
      </c>
    </row>
    <row r="506" spans="1:8" x14ac:dyDescent="0.3">
      <c r="A506" s="67">
        <v>46137</v>
      </c>
      <c r="B506" s="63" t="s">
        <v>9</v>
      </c>
      <c r="C506" s="63" t="s">
        <v>2335</v>
      </c>
      <c r="D506" s="63" t="s">
        <v>2336</v>
      </c>
      <c r="E506" s="63" t="s">
        <v>2337</v>
      </c>
      <c r="F506" s="63" t="s">
        <v>26</v>
      </c>
      <c r="G506" s="63" t="s">
        <v>142</v>
      </c>
      <c r="H506" s="64">
        <v>2000</v>
      </c>
    </row>
    <row r="507" spans="1:8" x14ac:dyDescent="0.3">
      <c r="A507" s="67">
        <v>46137</v>
      </c>
      <c r="B507" s="65" t="s">
        <v>185</v>
      </c>
      <c r="C507" s="65" t="s">
        <v>1838</v>
      </c>
      <c r="D507" s="65" t="s">
        <v>2338</v>
      </c>
      <c r="E507" s="65" t="s">
        <v>1856</v>
      </c>
      <c r="F507" s="65" t="s">
        <v>60</v>
      </c>
      <c r="G507" s="65" t="s">
        <v>366</v>
      </c>
      <c r="H507" s="66">
        <v>18000</v>
      </c>
    </row>
    <row r="508" spans="1:8" x14ac:dyDescent="0.3">
      <c r="A508" s="67">
        <v>46137</v>
      </c>
      <c r="B508" s="65" t="s">
        <v>185</v>
      </c>
      <c r="C508" s="65" t="s">
        <v>1838</v>
      </c>
      <c r="D508" s="65" t="s">
        <v>2338</v>
      </c>
      <c r="E508" s="65" t="s">
        <v>1856</v>
      </c>
      <c r="F508" s="65" t="s">
        <v>60</v>
      </c>
      <c r="G508" s="65" t="s">
        <v>45</v>
      </c>
      <c r="H508" s="66">
        <v>20000</v>
      </c>
    </row>
    <row r="509" spans="1:8" x14ac:dyDescent="0.3">
      <c r="A509" s="67">
        <v>46137</v>
      </c>
      <c r="B509" s="65" t="s">
        <v>185</v>
      </c>
      <c r="C509" s="65" t="s">
        <v>2339</v>
      </c>
      <c r="D509" s="65" t="s">
        <v>2340</v>
      </c>
      <c r="E509" s="65" t="s">
        <v>2341</v>
      </c>
      <c r="F509" s="65" t="s">
        <v>26</v>
      </c>
      <c r="G509" s="65" t="s">
        <v>292</v>
      </c>
      <c r="H509" s="66">
        <v>3000</v>
      </c>
    </row>
    <row r="510" spans="1:8" x14ac:dyDescent="0.3">
      <c r="A510" s="67">
        <v>46137</v>
      </c>
      <c r="B510" s="65" t="s">
        <v>185</v>
      </c>
      <c r="C510" s="65" t="s">
        <v>208</v>
      </c>
      <c r="D510" s="65" t="s">
        <v>2342</v>
      </c>
      <c r="E510" s="65" t="s">
        <v>2343</v>
      </c>
      <c r="F510" s="65" t="s">
        <v>210</v>
      </c>
      <c r="G510" s="65" t="s">
        <v>373</v>
      </c>
      <c r="H510" s="66">
        <v>4000</v>
      </c>
    </row>
    <row r="511" spans="1:8" x14ac:dyDescent="0.3">
      <c r="A511" s="67">
        <v>46137</v>
      </c>
      <c r="B511" s="65" t="s">
        <v>185</v>
      </c>
      <c r="C511" s="65" t="s">
        <v>208</v>
      </c>
      <c r="D511" s="65" t="s">
        <v>2344</v>
      </c>
      <c r="E511" s="65" t="s">
        <v>2345</v>
      </c>
      <c r="F511" s="65" t="s">
        <v>210</v>
      </c>
      <c r="G511" s="65" t="s">
        <v>299</v>
      </c>
      <c r="H511" s="66">
        <v>4000</v>
      </c>
    </row>
    <row r="512" spans="1:8" x14ac:dyDescent="0.3">
      <c r="A512" s="67">
        <v>46137</v>
      </c>
      <c r="B512" s="65" t="s">
        <v>185</v>
      </c>
      <c r="C512" s="65" t="s">
        <v>1234</v>
      </c>
      <c r="D512" s="65" t="s">
        <v>2346</v>
      </c>
      <c r="E512" s="65" t="s">
        <v>2347</v>
      </c>
      <c r="F512" s="65" t="s">
        <v>160</v>
      </c>
      <c r="G512" s="65" t="s">
        <v>555</v>
      </c>
      <c r="H512" s="66">
        <v>2500</v>
      </c>
    </row>
    <row r="513" spans="1:8" x14ac:dyDescent="0.3">
      <c r="A513" s="67">
        <v>46137</v>
      </c>
      <c r="B513" s="65" t="s">
        <v>185</v>
      </c>
      <c r="C513" s="65" t="s">
        <v>208</v>
      </c>
      <c r="D513" s="65" t="s">
        <v>2348</v>
      </c>
      <c r="E513" s="65" t="s">
        <v>2349</v>
      </c>
      <c r="F513" s="65" t="s">
        <v>210</v>
      </c>
      <c r="G513" s="65" t="s">
        <v>226</v>
      </c>
      <c r="H513" s="66">
        <v>2000</v>
      </c>
    </row>
    <row r="514" spans="1:8" x14ac:dyDescent="0.3">
      <c r="A514" s="67">
        <v>46137</v>
      </c>
      <c r="B514" s="65" t="s">
        <v>185</v>
      </c>
      <c r="C514" s="65" t="s">
        <v>1234</v>
      </c>
      <c r="D514" s="65" t="s">
        <v>2346</v>
      </c>
      <c r="E514" s="65" t="s">
        <v>2347</v>
      </c>
      <c r="F514" s="65" t="s">
        <v>160</v>
      </c>
      <c r="G514" s="65" t="s">
        <v>231</v>
      </c>
      <c r="H514" s="66">
        <v>3000</v>
      </c>
    </row>
    <row r="515" spans="1:8" x14ac:dyDescent="0.3">
      <c r="A515" s="67">
        <v>46137</v>
      </c>
      <c r="B515" s="65" t="s">
        <v>185</v>
      </c>
      <c r="C515" s="65" t="s">
        <v>208</v>
      </c>
      <c r="D515" s="65" t="s">
        <v>2344</v>
      </c>
      <c r="E515" s="65" t="s">
        <v>2345</v>
      </c>
      <c r="F515" s="65" t="s">
        <v>210</v>
      </c>
      <c r="G515" s="65" t="s">
        <v>231</v>
      </c>
      <c r="H515" s="66">
        <v>2500</v>
      </c>
    </row>
    <row r="516" spans="1:8" x14ac:dyDescent="0.3">
      <c r="A516" s="67">
        <v>46137</v>
      </c>
      <c r="B516" s="65" t="s">
        <v>185</v>
      </c>
      <c r="C516" s="65" t="s">
        <v>208</v>
      </c>
      <c r="D516" s="65" t="s">
        <v>2350</v>
      </c>
      <c r="E516" s="65" t="s">
        <v>2351</v>
      </c>
      <c r="F516" s="65" t="s">
        <v>210</v>
      </c>
      <c r="G516" s="65" t="s">
        <v>152</v>
      </c>
      <c r="H516" s="66">
        <v>3000</v>
      </c>
    </row>
    <row r="517" spans="1:8" x14ac:dyDescent="0.3">
      <c r="A517" s="67">
        <v>46137</v>
      </c>
      <c r="B517" s="65" t="s">
        <v>185</v>
      </c>
      <c r="C517" s="65" t="s">
        <v>1234</v>
      </c>
      <c r="D517" s="65" t="s">
        <v>2346</v>
      </c>
      <c r="E517" s="65" t="s">
        <v>2347</v>
      </c>
      <c r="F517" s="65" t="s">
        <v>160</v>
      </c>
      <c r="G517" s="65" t="s">
        <v>233</v>
      </c>
      <c r="H517" s="66">
        <v>3000</v>
      </c>
    </row>
    <row r="518" spans="1:8" x14ac:dyDescent="0.3">
      <c r="A518" s="67">
        <v>46137</v>
      </c>
      <c r="B518" s="65" t="s">
        <v>185</v>
      </c>
      <c r="C518" s="65" t="s">
        <v>189</v>
      </c>
      <c r="D518" s="65" t="s">
        <v>2352</v>
      </c>
      <c r="E518" s="65" t="s">
        <v>2353</v>
      </c>
      <c r="F518" s="65" t="s">
        <v>26</v>
      </c>
      <c r="G518" s="65" t="s">
        <v>563</v>
      </c>
      <c r="H518" s="66">
        <v>2000</v>
      </c>
    </row>
  </sheetData>
  <autoFilter ref="A1:K518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10" workbookViewId="0">
      <selection activeCell="A22" sqref="A22"/>
    </sheetView>
  </sheetViews>
  <sheetFormatPr defaultRowHeight="14.4" x14ac:dyDescent="0.3"/>
  <cols>
    <col min="1" max="1" width="27.6640625" customWidth="1"/>
    <col min="2" max="2" width="31.21875" customWidth="1"/>
  </cols>
  <sheetData>
    <row r="1" spans="1:2" x14ac:dyDescent="0.3">
      <c r="A1" s="4" t="s">
        <v>20</v>
      </c>
      <c r="B1" t="s">
        <v>20</v>
      </c>
    </row>
    <row r="2" spans="1:2" x14ac:dyDescent="0.3">
      <c r="A2" s="18" t="s">
        <v>1758</v>
      </c>
      <c r="B2" t="s">
        <v>1760</v>
      </c>
    </row>
    <row r="3" spans="1:2" x14ac:dyDescent="0.3">
      <c r="A3" s="18" t="s">
        <v>1759</v>
      </c>
      <c r="B3" t="s">
        <v>1759</v>
      </c>
    </row>
    <row r="4" spans="1:2" x14ac:dyDescent="0.3">
      <c r="A4" s="18" t="s">
        <v>1760</v>
      </c>
      <c r="B4" t="s">
        <v>1762</v>
      </c>
    </row>
    <row r="5" spans="1:2" x14ac:dyDescent="0.3">
      <c r="A5" s="18" t="s">
        <v>1762</v>
      </c>
      <c r="B5" t="s">
        <v>1868</v>
      </c>
    </row>
    <row r="6" spans="1:2" x14ac:dyDescent="0.3">
      <c r="A6" s="18" t="s">
        <v>1866</v>
      </c>
      <c r="B6" t="s">
        <v>1868</v>
      </c>
    </row>
    <row r="7" spans="1:2" x14ac:dyDescent="0.3">
      <c r="A7" s="18" t="s">
        <v>1868</v>
      </c>
      <c r="B7" t="s">
        <v>1870</v>
      </c>
    </row>
    <row r="8" spans="1:2" x14ac:dyDescent="0.3">
      <c r="A8" s="18" t="s">
        <v>1870</v>
      </c>
      <c r="B8" t="s">
        <v>1866</v>
      </c>
    </row>
    <row r="9" spans="1:2" x14ac:dyDescent="0.3">
      <c r="A9" s="18" t="s">
        <v>1871</v>
      </c>
      <c r="B9" t="s">
        <v>1871</v>
      </c>
    </row>
    <row r="10" spans="1:2" x14ac:dyDescent="0.3">
      <c r="A10" s="18" t="s">
        <v>1868</v>
      </c>
      <c r="B10" t="s">
        <v>1975</v>
      </c>
    </row>
    <row r="11" spans="1:2" x14ac:dyDescent="0.3">
      <c r="A11" s="18" t="s">
        <v>1971</v>
      </c>
      <c r="B11" t="s">
        <v>1973</v>
      </c>
    </row>
    <row r="12" spans="1:2" x14ac:dyDescent="0.3">
      <c r="A12" s="18" t="s">
        <v>1973</v>
      </c>
      <c r="B12" t="s">
        <v>1977</v>
      </c>
    </row>
    <row r="13" spans="1:2" x14ac:dyDescent="0.3">
      <c r="A13" s="18" t="s">
        <v>1975</v>
      </c>
      <c r="B13" t="s">
        <v>1971</v>
      </c>
    </row>
    <row r="14" spans="1:2" x14ac:dyDescent="0.3">
      <c r="A14" s="18" t="s">
        <v>1966</v>
      </c>
      <c r="B14" t="s">
        <v>1966</v>
      </c>
    </row>
    <row r="15" spans="1:2" x14ac:dyDescent="0.3">
      <c r="A15" s="18" t="s">
        <v>1966</v>
      </c>
      <c r="B15" t="s">
        <v>1966</v>
      </c>
    </row>
    <row r="16" spans="1:2" x14ac:dyDescent="0.3">
      <c r="A16" s="18" t="s">
        <v>1966</v>
      </c>
      <c r="B16" t="s">
        <v>1966</v>
      </c>
    </row>
    <row r="17" spans="1:2" x14ac:dyDescent="0.3">
      <c r="A17" s="18" t="s">
        <v>1977</v>
      </c>
      <c r="B17" t="s">
        <v>2075</v>
      </c>
    </row>
    <row r="18" spans="1:2" x14ac:dyDescent="0.3">
      <c r="A18" s="18" t="s">
        <v>2075</v>
      </c>
      <c r="B18" t="s">
        <v>2077</v>
      </c>
    </row>
    <row r="19" spans="1:2" x14ac:dyDescent="0.3">
      <c r="A19" s="18" t="s">
        <v>2077</v>
      </c>
      <c r="B19" t="s">
        <v>2354</v>
      </c>
    </row>
    <row r="20" spans="1:2" x14ac:dyDescent="0.3">
      <c r="A20" s="18" t="s">
        <v>2078</v>
      </c>
      <c r="B20" t="s">
        <v>2078</v>
      </c>
    </row>
    <row r="21" spans="1:2" x14ac:dyDescent="0.3">
      <c r="A21" s="18" t="s">
        <v>2078</v>
      </c>
      <c r="B21" t="s">
        <v>2082</v>
      </c>
    </row>
    <row r="22" spans="1:2" x14ac:dyDescent="0.3">
      <c r="A22" s="18" t="s">
        <v>2080</v>
      </c>
      <c r="B22" t="s">
        <v>2181</v>
      </c>
    </row>
    <row r="23" spans="1:2" x14ac:dyDescent="0.3">
      <c r="A23" s="18" t="s">
        <v>2082</v>
      </c>
      <c r="B23" t="s">
        <v>2255</v>
      </c>
    </row>
    <row r="24" spans="1:2" x14ac:dyDescent="0.3">
      <c r="A24" s="18" t="s">
        <v>2173</v>
      </c>
      <c r="B24" t="s">
        <v>2178</v>
      </c>
    </row>
    <row r="25" spans="1:2" x14ac:dyDescent="0.3">
      <c r="A25" s="18" t="s">
        <v>2175</v>
      </c>
      <c r="B25" t="s">
        <v>2175</v>
      </c>
    </row>
    <row r="26" spans="1:2" x14ac:dyDescent="0.3">
      <c r="A26" s="18" t="s">
        <v>2177</v>
      </c>
      <c r="B26" t="s">
        <v>2177</v>
      </c>
    </row>
    <row r="27" spans="1:2" x14ac:dyDescent="0.3">
      <c r="A27" s="18" t="s">
        <v>2178</v>
      </c>
      <c r="B27" t="s">
        <v>2180</v>
      </c>
    </row>
    <row r="28" spans="1:2" x14ac:dyDescent="0.3">
      <c r="A28" s="18" t="s">
        <v>2180</v>
      </c>
      <c r="B28" s="75" t="s">
        <v>2180</v>
      </c>
    </row>
    <row r="29" spans="1:2" x14ac:dyDescent="0.3">
      <c r="A29" s="18" t="s">
        <v>2181</v>
      </c>
      <c r="B29" t="s">
        <v>2277</v>
      </c>
    </row>
    <row r="30" spans="1:2" x14ac:dyDescent="0.3">
      <c r="A30" s="56" t="s">
        <v>2277</v>
      </c>
      <c r="B30" t="s">
        <v>2279</v>
      </c>
    </row>
    <row r="31" spans="1:2" x14ac:dyDescent="0.3">
      <c r="A31" s="56" t="s">
        <v>2279</v>
      </c>
    </row>
  </sheetData>
  <conditionalFormatting sqref="B1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A65" workbookViewId="0">
      <selection activeCell="A2" sqref="A2:G85"/>
    </sheetView>
  </sheetViews>
  <sheetFormatPr defaultRowHeight="14.4" x14ac:dyDescent="0.3"/>
  <cols>
    <col min="1" max="1" width="12.44140625" customWidth="1"/>
    <col min="2" max="2" width="22.44140625" customWidth="1"/>
    <col min="3" max="3" width="9" customWidth="1"/>
    <col min="4" max="4" width="24.77734375" customWidth="1"/>
    <col min="5" max="5" width="17.6640625" customWidth="1"/>
    <col min="6" max="6" width="29.77734375" customWidth="1"/>
    <col min="7" max="7" width="9.77734375" bestFit="1" customWidth="1"/>
    <col min="8" max="8" width="10.21875" bestFit="1" customWidth="1"/>
  </cols>
  <sheetData>
    <row r="1" spans="1:10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0" s="18" customFormat="1" x14ac:dyDescent="0.3">
      <c r="A2" s="18" t="s">
        <v>11</v>
      </c>
      <c r="B2" s="18" t="s">
        <v>1862</v>
      </c>
      <c r="C2" s="18">
        <v>1090265</v>
      </c>
      <c r="D2" s="18" t="s">
        <v>1863</v>
      </c>
      <c r="E2" s="18" t="s">
        <v>1864</v>
      </c>
      <c r="F2" s="18" t="s">
        <v>27</v>
      </c>
      <c r="G2" s="27">
        <v>9000</v>
      </c>
    </row>
    <row r="3" spans="1:10" s="18" customFormat="1" x14ac:dyDescent="0.3">
      <c r="A3" s="18" t="s">
        <v>11</v>
      </c>
      <c r="B3" s="18" t="s">
        <v>1865</v>
      </c>
      <c r="C3" s="18">
        <v>1090256</v>
      </c>
      <c r="D3" s="18" t="s">
        <v>1866</v>
      </c>
      <c r="E3" s="18" t="s">
        <v>26</v>
      </c>
      <c r="F3" s="18" t="s">
        <v>35</v>
      </c>
      <c r="G3" s="27">
        <v>20000</v>
      </c>
    </row>
    <row r="4" spans="1:10" s="18" customFormat="1" x14ac:dyDescent="0.3">
      <c r="A4" s="18" t="s">
        <v>11</v>
      </c>
      <c r="B4" s="18" t="s">
        <v>1867</v>
      </c>
      <c r="C4" s="18">
        <v>1090284</v>
      </c>
      <c r="D4" s="18" t="s">
        <v>1868</v>
      </c>
      <c r="E4" s="18" t="s">
        <v>160</v>
      </c>
      <c r="F4" s="18" t="s">
        <v>84</v>
      </c>
      <c r="G4" s="27">
        <v>18000</v>
      </c>
    </row>
    <row r="5" spans="1:10" s="18" customFormat="1" x14ac:dyDescent="0.3">
      <c r="A5" s="18" t="s">
        <v>11</v>
      </c>
      <c r="B5" s="18" t="s">
        <v>1869</v>
      </c>
      <c r="C5" s="18">
        <v>1090288</v>
      </c>
      <c r="D5" s="18" t="s">
        <v>1870</v>
      </c>
      <c r="E5" s="18" t="s">
        <v>26</v>
      </c>
      <c r="F5" s="18" t="s">
        <v>84</v>
      </c>
      <c r="G5" s="27">
        <v>20000</v>
      </c>
    </row>
    <row r="6" spans="1:10" s="18" customFormat="1" x14ac:dyDescent="0.3">
      <c r="A6" s="18" t="s">
        <v>11</v>
      </c>
      <c r="B6" s="18" t="s">
        <v>401</v>
      </c>
      <c r="C6" s="18">
        <v>1090310</v>
      </c>
      <c r="D6" s="18" t="s">
        <v>1871</v>
      </c>
      <c r="E6" s="18" t="s">
        <v>26</v>
      </c>
      <c r="F6" s="18" t="s">
        <v>45</v>
      </c>
      <c r="G6" s="27">
        <v>25000</v>
      </c>
    </row>
    <row r="7" spans="1:10" s="18" customFormat="1" x14ac:dyDescent="0.3">
      <c r="A7" s="18" t="s">
        <v>11</v>
      </c>
      <c r="B7" s="18" t="s">
        <v>1867</v>
      </c>
      <c r="C7" s="18">
        <v>1090284</v>
      </c>
      <c r="D7" s="18" t="s">
        <v>1868</v>
      </c>
      <c r="E7" s="18" t="s">
        <v>160</v>
      </c>
      <c r="F7" s="18" t="s">
        <v>793</v>
      </c>
      <c r="G7" s="27">
        <v>18000</v>
      </c>
    </row>
    <row r="8" spans="1:10" s="18" customFormat="1" x14ac:dyDescent="0.3">
      <c r="A8" s="18" t="s">
        <v>11</v>
      </c>
      <c r="B8" s="18" t="s">
        <v>1872</v>
      </c>
      <c r="C8" s="18">
        <v>1090295</v>
      </c>
      <c r="D8" s="18" t="s">
        <v>1873</v>
      </c>
      <c r="E8" s="18" t="s">
        <v>79</v>
      </c>
      <c r="F8" s="18" t="s">
        <v>222</v>
      </c>
      <c r="G8" s="27">
        <v>1800</v>
      </c>
      <c r="H8" s="27"/>
      <c r="J8" s="28"/>
    </row>
    <row r="9" spans="1:10" s="10" customFormat="1" x14ac:dyDescent="0.3">
      <c r="A9" s="10" t="s">
        <v>0</v>
      </c>
      <c r="B9" s="10" t="s">
        <v>271</v>
      </c>
      <c r="C9" s="10">
        <v>1090247</v>
      </c>
      <c r="D9" s="10" t="s">
        <v>1874</v>
      </c>
      <c r="E9" s="10" t="s">
        <v>26</v>
      </c>
      <c r="F9" s="10" t="s">
        <v>48</v>
      </c>
      <c r="G9" s="29">
        <v>2500</v>
      </c>
    </row>
    <row r="10" spans="1:10" s="10" customFormat="1" x14ac:dyDescent="0.3">
      <c r="A10" s="10" t="s">
        <v>0</v>
      </c>
      <c r="B10" s="10" t="s">
        <v>135</v>
      </c>
      <c r="C10" s="10">
        <v>1090293</v>
      </c>
      <c r="D10" s="10" t="s">
        <v>1875</v>
      </c>
      <c r="E10" s="10" t="s">
        <v>26</v>
      </c>
      <c r="F10" s="10" t="s">
        <v>465</v>
      </c>
      <c r="G10" s="29">
        <v>14000</v>
      </c>
    </row>
    <row r="11" spans="1:10" s="10" customFormat="1" x14ac:dyDescent="0.3">
      <c r="A11" s="10" t="s">
        <v>0</v>
      </c>
      <c r="B11" s="10" t="s">
        <v>1876</v>
      </c>
      <c r="C11" s="10">
        <v>1090253</v>
      </c>
      <c r="D11" s="10" t="s">
        <v>1877</v>
      </c>
      <c r="E11" s="10" t="s">
        <v>26</v>
      </c>
      <c r="F11" s="10" t="s">
        <v>465</v>
      </c>
      <c r="G11" s="29">
        <v>14000</v>
      </c>
    </row>
    <row r="12" spans="1:10" s="10" customFormat="1" x14ac:dyDescent="0.3">
      <c r="A12" s="10" t="s">
        <v>0</v>
      </c>
      <c r="B12" s="10" t="s">
        <v>973</v>
      </c>
      <c r="C12" s="10">
        <v>1090300</v>
      </c>
      <c r="D12" s="10" t="s">
        <v>1878</v>
      </c>
      <c r="E12" s="10" t="s">
        <v>79</v>
      </c>
      <c r="F12" s="10" t="s">
        <v>499</v>
      </c>
      <c r="G12" s="29">
        <v>18000</v>
      </c>
    </row>
    <row r="13" spans="1:10" s="10" customFormat="1" x14ac:dyDescent="0.3">
      <c r="A13" s="10" t="s">
        <v>0</v>
      </c>
      <c r="B13" s="10" t="s">
        <v>1879</v>
      </c>
      <c r="C13" s="10">
        <v>1090239</v>
      </c>
      <c r="D13" s="10" t="s">
        <v>1880</v>
      </c>
      <c r="E13" s="10" t="s">
        <v>26</v>
      </c>
      <c r="F13" s="10" t="s">
        <v>51</v>
      </c>
      <c r="G13" s="29">
        <v>15000</v>
      </c>
    </row>
    <row r="14" spans="1:10" s="10" customFormat="1" x14ac:dyDescent="0.3">
      <c r="A14" s="10" t="s">
        <v>0</v>
      </c>
      <c r="B14" s="10" t="s">
        <v>1881</v>
      </c>
      <c r="C14" s="10">
        <v>1090242</v>
      </c>
      <c r="D14" s="10" t="s">
        <v>1882</v>
      </c>
      <c r="E14" s="10" t="s">
        <v>26</v>
      </c>
      <c r="F14" s="10" t="s">
        <v>1883</v>
      </c>
      <c r="G14" s="29">
        <v>12000</v>
      </c>
    </row>
    <row r="15" spans="1:10" s="10" customFormat="1" x14ac:dyDescent="0.3">
      <c r="A15" s="10" t="s">
        <v>0</v>
      </c>
      <c r="B15" s="10" t="s">
        <v>1884</v>
      </c>
      <c r="C15" s="10">
        <v>1090299</v>
      </c>
      <c r="D15" s="10" t="s">
        <v>1885</v>
      </c>
      <c r="E15" s="10" t="s">
        <v>26</v>
      </c>
      <c r="F15" s="10" t="s">
        <v>27</v>
      </c>
      <c r="G15" s="29">
        <v>12000</v>
      </c>
    </row>
    <row r="16" spans="1:10" s="10" customFormat="1" x14ac:dyDescent="0.3">
      <c r="A16" s="10" t="s">
        <v>0</v>
      </c>
      <c r="B16" s="10" t="s">
        <v>802</v>
      </c>
      <c r="C16" s="10">
        <v>1090292</v>
      </c>
      <c r="D16" s="10" t="s">
        <v>1886</v>
      </c>
      <c r="E16" s="10" t="s">
        <v>26</v>
      </c>
      <c r="F16" s="10" t="s">
        <v>27</v>
      </c>
      <c r="G16" s="29">
        <v>12000</v>
      </c>
    </row>
    <row r="17" spans="1:7" s="10" customFormat="1" x14ac:dyDescent="0.3">
      <c r="A17" s="10" t="s">
        <v>0</v>
      </c>
      <c r="B17" s="10" t="s">
        <v>1887</v>
      </c>
      <c r="C17" s="10">
        <v>1090302</v>
      </c>
      <c r="D17" s="10" t="s">
        <v>1888</v>
      </c>
      <c r="E17" s="10" t="s">
        <v>26</v>
      </c>
      <c r="F17" s="10" t="s">
        <v>54</v>
      </c>
      <c r="G17" s="29">
        <v>14000</v>
      </c>
    </row>
    <row r="18" spans="1:7" s="10" customFormat="1" x14ac:dyDescent="0.3">
      <c r="A18" s="10" t="s">
        <v>0</v>
      </c>
      <c r="B18" s="10" t="s">
        <v>1889</v>
      </c>
      <c r="C18" s="10">
        <v>1090245</v>
      </c>
      <c r="D18" s="10" t="s">
        <v>1890</v>
      </c>
      <c r="E18" s="10" t="s">
        <v>34</v>
      </c>
      <c r="F18" s="10" t="s">
        <v>35</v>
      </c>
      <c r="G18" s="29">
        <v>18000</v>
      </c>
    </row>
    <row r="19" spans="1:7" s="10" customFormat="1" x14ac:dyDescent="0.3">
      <c r="A19" s="10" t="s">
        <v>0</v>
      </c>
      <c r="B19" s="10" t="s">
        <v>90</v>
      </c>
      <c r="C19" s="10">
        <v>1090275</v>
      </c>
      <c r="D19" s="10" t="s">
        <v>1891</v>
      </c>
      <c r="E19" s="10" t="s">
        <v>26</v>
      </c>
      <c r="F19" s="10" t="s">
        <v>353</v>
      </c>
      <c r="G19" s="29">
        <v>11920</v>
      </c>
    </row>
    <row r="20" spans="1:7" s="10" customFormat="1" x14ac:dyDescent="0.3">
      <c r="A20" s="10" t="s">
        <v>0</v>
      </c>
      <c r="B20" s="10" t="s">
        <v>530</v>
      </c>
      <c r="C20" s="10">
        <v>1090291</v>
      </c>
      <c r="D20" s="10" t="s">
        <v>1892</v>
      </c>
      <c r="E20" s="10" t="s">
        <v>26</v>
      </c>
      <c r="F20" s="10" t="s">
        <v>1433</v>
      </c>
      <c r="G20" s="29">
        <v>35000</v>
      </c>
    </row>
    <row r="21" spans="1:7" s="10" customFormat="1" x14ac:dyDescent="0.3">
      <c r="A21" s="10" t="s">
        <v>0</v>
      </c>
      <c r="B21" s="10" t="s">
        <v>114</v>
      </c>
      <c r="C21" s="10">
        <v>1090268</v>
      </c>
      <c r="D21" s="10" t="s">
        <v>1893</v>
      </c>
      <c r="E21" s="10" t="s">
        <v>26</v>
      </c>
      <c r="F21" s="10" t="s">
        <v>316</v>
      </c>
      <c r="G21" s="29">
        <v>20000</v>
      </c>
    </row>
    <row r="22" spans="1:7" s="10" customFormat="1" x14ac:dyDescent="0.3">
      <c r="A22" s="10" t="s">
        <v>0</v>
      </c>
      <c r="B22" s="10" t="s">
        <v>1499</v>
      </c>
      <c r="C22" s="10">
        <v>1090246</v>
      </c>
      <c r="D22" s="10" t="s">
        <v>1894</v>
      </c>
      <c r="E22" s="10" t="s">
        <v>26</v>
      </c>
      <c r="F22" s="10" t="s">
        <v>316</v>
      </c>
      <c r="G22" s="29">
        <v>20000</v>
      </c>
    </row>
    <row r="23" spans="1:7" s="10" customFormat="1" x14ac:dyDescent="0.3">
      <c r="A23" s="10" t="s">
        <v>0</v>
      </c>
      <c r="B23" s="10" t="s">
        <v>271</v>
      </c>
      <c r="C23" s="10">
        <v>1090258</v>
      </c>
      <c r="D23" s="10" t="s">
        <v>1895</v>
      </c>
      <c r="E23" s="10" t="s">
        <v>26</v>
      </c>
      <c r="F23" s="10" t="s">
        <v>483</v>
      </c>
      <c r="G23" s="29">
        <v>25000</v>
      </c>
    </row>
    <row r="24" spans="1:7" s="10" customFormat="1" x14ac:dyDescent="0.3">
      <c r="A24" s="10" t="s">
        <v>0</v>
      </c>
      <c r="B24" s="10" t="s">
        <v>1889</v>
      </c>
      <c r="C24" s="10">
        <v>1090245</v>
      </c>
      <c r="D24" s="10" t="s">
        <v>1890</v>
      </c>
      <c r="E24" s="10" t="s">
        <v>34</v>
      </c>
      <c r="F24" s="10" t="s">
        <v>366</v>
      </c>
      <c r="G24" s="29">
        <v>18000</v>
      </c>
    </row>
    <row r="25" spans="1:7" s="10" customFormat="1" x14ac:dyDescent="0.3">
      <c r="A25" s="10" t="s">
        <v>0</v>
      </c>
      <c r="B25" s="10" t="s">
        <v>1889</v>
      </c>
      <c r="C25" s="10">
        <v>1090257</v>
      </c>
      <c r="D25" s="10" t="s">
        <v>1890</v>
      </c>
      <c r="E25" s="10" t="s">
        <v>34</v>
      </c>
      <c r="F25" s="10" t="s">
        <v>663</v>
      </c>
      <c r="G25" s="29">
        <v>18000</v>
      </c>
    </row>
    <row r="26" spans="1:7" s="10" customFormat="1" x14ac:dyDescent="0.3">
      <c r="A26" s="10" t="s">
        <v>0</v>
      </c>
      <c r="B26" s="10" t="s">
        <v>1896</v>
      </c>
      <c r="C26" s="10">
        <v>1090271</v>
      </c>
      <c r="D26" s="10" t="s">
        <v>1897</v>
      </c>
      <c r="E26" s="10" t="s">
        <v>79</v>
      </c>
      <c r="F26" s="10" t="s">
        <v>39</v>
      </c>
      <c r="G26" s="29">
        <v>22000</v>
      </c>
    </row>
    <row r="27" spans="1:7" s="10" customFormat="1" x14ac:dyDescent="0.3">
      <c r="A27" s="10" t="s">
        <v>0</v>
      </c>
      <c r="B27" s="10" t="s">
        <v>295</v>
      </c>
      <c r="C27" s="10">
        <v>1090298</v>
      </c>
      <c r="D27" s="10" t="s">
        <v>1898</v>
      </c>
      <c r="E27" s="10" t="s">
        <v>26</v>
      </c>
      <c r="F27" s="10" t="s">
        <v>39</v>
      </c>
      <c r="G27" s="29">
        <v>20000</v>
      </c>
    </row>
    <row r="28" spans="1:7" s="10" customFormat="1" x14ac:dyDescent="0.3">
      <c r="A28" s="10" t="s">
        <v>0</v>
      </c>
      <c r="B28" s="10" t="s">
        <v>135</v>
      </c>
      <c r="C28" s="10">
        <v>1090287</v>
      </c>
      <c r="D28" s="10" t="s">
        <v>1899</v>
      </c>
      <c r="E28" s="10" t="s">
        <v>26</v>
      </c>
      <c r="F28" s="10" t="s">
        <v>39</v>
      </c>
      <c r="G28" s="29">
        <v>20000</v>
      </c>
    </row>
    <row r="29" spans="1:7" s="10" customFormat="1" x14ac:dyDescent="0.3">
      <c r="A29" s="10" t="s">
        <v>0</v>
      </c>
      <c r="B29" s="10" t="s">
        <v>1900</v>
      </c>
      <c r="C29" s="10">
        <v>1090262</v>
      </c>
      <c r="D29" s="10" t="s">
        <v>1901</v>
      </c>
      <c r="E29" s="10" t="s">
        <v>34</v>
      </c>
      <c r="F29" s="10" t="s">
        <v>84</v>
      </c>
      <c r="G29" s="29">
        <v>18000</v>
      </c>
    </row>
    <row r="30" spans="1:7" s="10" customFormat="1" x14ac:dyDescent="0.3">
      <c r="A30" s="10" t="s">
        <v>0</v>
      </c>
      <c r="B30" s="10" t="s">
        <v>1902</v>
      </c>
      <c r="C30" s="10">
        <v>1090249</v>
      </c>
      <c r="D30" s="10" t="s">
        <v>1903</v>
      </c>
      <c r="E30" s="10" t="s">
        <v>34</v>
      </c>
      <c r="F30" s="10" t="s">
        <v>84</v>
      </c>
      <c r="G30" s="29">
        <v>18000</v>
      </c>
    </row>
    <row r="31" spans="1:7" s="10" customFormat="1" x14ac:dyDescent="0.3">
      <c r="A31" s="10" t="s">
        <v>0</v>
      </c>
      <c r="B31" s="10" t="s">
        <v>1694</v>
      </c>
      <c r="C31" s="10">
        <v>1090277</v>
      </c>
      <c r="D31" s="10" t="s">
        <v>1904</v>
      </c>
      <c r="E31" s="10" t="s">
        <v>26</v>
      </c>
      <c r="F31" s="10" t="s">
        <v>95</v>
      </c>
      <c r="G31" s="29">
        <v>26000</v>
      </c>
    </row>
    <row r="32" spans="1:7" s="10" customFormat="1" x14ac:dyDescent="0.3">
      <c r="A32" s="10" t="s">
        <v>0</v>
      </c>
      <c r="B32" s="10" t="s">
        <v>1905</v>
      </c>
      <c r="C32" s="10">
        <v>1090297</v>
      </c>
      <c r="D32" s="10" t="s">
        <v>1906</v>
      </c>
      <c r="E32" s="10" t="s">
        <v>26</v>
      </c>
      <c r="F32" s="10" t="s">
        <v>45</v>
      </c>
      <c r="G32" s="29">
        <v>25000</v>
      </c>
    </row>
    <row r="33" spans="1:7" s="10" customFormat="1" x14ac:dyDescent="0.3">
      <c r="A33" s="10" t="s">
        <v>0</v>
      </c>
      <c r="B33" s="10" t="s">
        <v>1907</v>
      </c>
      <c r="C33" s="10">
        <v>1090290</v>
      </c>
      <c r="D33" s="10" t="s">
        <v>1908</v>
      </c>
      <c r="E33" s="10" t="s">
        <v>26</v>
      </c>
      <c r="F33" s="10" t="s">
        <v>195</v>
      </c>
      <c r="G33" s="29">
        <v>20000</v>
      </c>
    </row>
    <row r="34" spans="1:7" s="10" customFormat="1" x14ac:dyDescent="0.3">
      <c r="A34" s="10" t="s">
        <v>0</v>
      </c>
      <c r="B34" s="10" t="s">
        <v>1909</v>
      </c>
      <c r="C34" s="10">
        <v>1090289</v>
      </c>
      <c r="D34" s="10" t="s">
        <v>1910</v>
      </c>
      <c r="E34" s="10" t="s">
        <v>26</v>
      </c>
      <c r="F34" s="10" t="s">
        <v>195</v>
      </c>
      <c r="G34" s="29">
        <v>20000</v>
      </c>
    </row>
    <row r="35" spans="1:7" s="10" customFormat="1" x14ac:dyDescent="0.3">
      <c r="A35" s="10" t="s">
        <v>0</v>
      </c>
      <c r="B35" s="10" t="s">
        <v>80</v>
      </c>
      <c r="C35" s="10">
        <v>1090273</v>
      </c>
      <c r="D35" s="10" t="s">
        <v>1911</v>
      </c>
      <c r="E35" s="10" t="s">
        <v>26</v>
      </c>
      <c r="F35" s="10" t="s">
        <v>168</v>
      </c>
      <c r="G35" s="29">
        <v>22000</v>
      </c>
    </row>
    <row r="36" spans="1:7" s="10" customFormat="1" x14ac:dyDescent="0.3">
      <c r="A36" s="10" t="s">
        <v>0</v>
      </c>
      <c r="B36" s="10" t="s">
        <v>77</v>
      </c>
      <c r="C36" s="10">
        <v>1090255</v>
      </c>
      <c r="D36" s="10" t="s">
        <v>1912</v>
      </c>
      <c r="E36" s="10" t="s">
        <v>160</v>
      </c>
      <c r="F36" s="10" t="s">
        <v>104</v>
      </c>
      <c r="G36" s="29">
        <v>4000</v>
      </c>
    </row>
    <row r="37" spans="1:7" s="10" customFormat="1" x14ac:dyDescent="0.3">
      <c r="A37" s="10" t="s">
        <v>0</v>
      </c>
      <c r="B37" s="10" t="s">
        <v>271</v>
      </c>
      <c r="C37" s="10">
        <v>1090238</v>
      </c>
      <c r="D37" s="10" t="s">
        <v>1913</v>
      </c>
      <c r="E37" s="10" t="s">
        <v>26</v>
      </c>
      <c r="F37" s="10" t="s">
        <v>104</v>
      </c>
      <c r="G37" s="29">
        <v>3000</v>
      </c>
    </row>
    <row r="38" spans="1:7" s="10" customFormat="1" x14ac:dyDescent="0.3">
      <c r="A38" s="10" t="s">
        <v>0</v>
      </c>
      <c r="B38" s="10" t="s">
        <v>271</v>
      </c>
      <c r="C38" s="10">
        <v>1090272</v>
      </c>
      <c r="D38" s="10" t="s">
        <v>1914</v>
      </c>
      <c r="E38" s="10" t="s">
        <v>26</v>
      </c>
      <c r="F38" s="10" t="s">
        <v>104</v>
      </c>
      <c r="G38" s="29">
        <v>3000</v>
      </c>
    </row>
    <row r="39" spans="1:7" s="10" customFormat="1" x14ac:dyDescent="0.3">
      <c r="A39" s="10" t="s">
        <v>0</v>
      </c>
      <c r="B39" s="10" t="s">
        <v>302</v>
      </c>
      <c r="C39" s="10">
        <v>1090254</v>
      </c>
      <c r="D39" s="10" t="s">
        <v>859</v>
      </c>
      <c r="E39" s="10" t="s">
        <v>26</v>
      </c>
      <c r="F39" s="10" t="s">
        <v>104</v>
      </c>
      <c r="G39" s="29">
        <v>3000</v>
      </c>
    </row>
    <row r="40" spans="1:7" s="10" customFormat="1" x14ac:dyDescent="0.3">
      <c r="A40" s="10" t="s">
        <v>0</v>
      </c>
      <c r="B40" s="10" t="s">
        <v>1915</v>
      </c>
      <c r="C40" s="10">
        <v>1090250</v>
      </c>
      <c r="D40" s="10" t="s">
        <v>1916</v>
      </c>
      <c r="E40" s="10" t="s">
        <v>26</v>
      </c>
      <c r="F40" s="10" t="s">
        <v>337</v>
      </c>
      <c r="G40" s="29">
        <v>4000</v>
      </c>
    </row>
    <row r="41" spans="1:7" s="10" customFormat="1" x14ac:dyDescent="0.3">
      <c r="A41" s="10" t="s">
        <v>0</v>
      </c>
      <c r="B41" s="10" t="s">
        <v>694</v>
      </c>
      <c r="C41" s="10">
        <v>1090280</v>
      </c>
      <c r="D41" s="10" t="s">
        <v>1917</v>
      </c>
      <c r="E41" s="10" t="s">
        <v>26</v>
      </c>
      <c r="F41" s="10" t="s">
        <v>837</v>
      </c>
      <c r="G41" s="29">
        <v>8000</v>
      </c>
    </row>
    <row r="42" spans="1:7" s="10" customFormat="1" x14ac:dyDescent="0.3">
      <c r="A42" s="10" t="s">
        <v>0</v>
      </c>
      <c r="B42" s="10" t="s">
        <v>1918</v>
      </c>
      <c r="C42" s="10">
        <v>1090248</v>
      </c>
      <c r="D42" s="10" t="s">
        <v>1919</v>
      </c>
      <c r="E42" s="10" t="s">
        <v>26</v>
      </c>
      <c r="F42" s="10" t="s">
        <v>116</v>
      </c>
      <c r="G42" s="29">
        <v>5000</v>
      </c>
    </row>
    <row r="43" spans="1:7" s="10" customFormat="1" x14ac:dyDescent="0.3">
      <c r="A43" s="10" t="s">
        <v>0</v>
      </c>
      <c r="B43" s="10" t="s">
        <v>1920</v>
      </c>
      <c r="C43" s="10">
        <v>1090252</v>
      </c>
      <c r="D43" s="10" t="s">
        <v>1921</v>
      </c>
      <c r="E43" s="10" t="s">
        <v>26</v>
      </c>
      <c r="F43" s="10" t="s">
        <v>119</v>
      </c>
      <c r="G43" s="29">
        <v>3000</v>
      </c>
    </row>
    <row r="44" spans="1:7" s="10" customFormat="1" x14ac:dyDescent="0.3">
      <c r="A44" s="10" t="s">
        <v>0</v>
      </c>
      <c r="B44" s="10" t="s">
        <v>1922</v>
      </c>
      <c r="C44" s="10">
        <v>1090260</v>
      </c>
      <c r="D44" s="10" t="s">
        <v>1923</v>
      </c>
      <c r="E44" s="10" t="s">
        <v>26</v>
      </c>
      <c r="F44" s="10" t="s">
        <v>124</v>
      </c>
      <c r="G44" s="29">
        <v>3000</v>
      </c>
    </row>
    <row r="45" spans="1:7" s="10" customFormat="1" x14ac:dyDescent="0.3">
      <c r="A45" s="10" t="s">
        <v>0</v>
      </c>
      <c r="B45" s="10" t="s">
        <v>1055</v>
      </c>
      <c r="C45" s="10">
        <v>1090251</v>
      </c>
      <c r="D45" s="10" t="s">
        <v>1924</v>
      </c>
      <c r="E45" s="10" t="s">
        <v>34</v>
      </c>
      <c r="F45" s="10" t="s">
        <v>129</v>
      </c>
      <c r="G45" s="29">
        <v>4000</v>
      </c>
    </row>
    <row r="46" spans="1:7" s="10" customFormat="1" x14ac:dyDescent="0.3">
      <c r="A46" s="10" t="s">
        <v>0</v>
      </c>
      <c r="B46" s="10" t="s">
        <v>1925</v>
      </c>
      <c r="C46" s="10">
        <v>1090278</v>
      </c>
      <c r="D46" s="10" t="s">
        <v>1926</v>
      </c>
      <c r="E46" s="10" t="s">
        <v>26</v>
      </c>
      <c r="F46" s="10" t="s">
        <v>134</v>
      </c>
      <c r="G46" s="29">
        <v>4000</v>
      </c>
    </row>
    <row r="47" spans="1:7" s="10" customFormat="1" x14ac:dyDescent="0.3">
      <c r="A47" s="10" t="s">
        <v>0</v>
      </c>
      <c r="B47" s="10" t="s">
        <v>130</v>
      </c>
      <c r="C47" s="10">
        <v>1090304</v>
      </c>
      <c r="D47" s="10" t="s">
        <v>1927</v>
      </c>
      <c r="E47" s="10" t="s">
        <v>201</v>
      </c>
      <c r="F47" s="10" t="s">
        <v>134</v>
      </c>
      <c r="G47" s="29">
        <v>4000</v>
      </c>
    </row>
    <row r="48" spans="1:7" s="10" customFormat="1" x14ac:dyDescent="0.3">
      <c r="A48" s="10" t="s">
        <v>0</v>
      </c>
      <c r="B48" s="10" t="s">
        <v>1928</v>
      </c>
      <c r="C48" s="10">
        <v>1090259</v>
      </c>
      <c r="D48" s="10" t="s">
        <v>1929</v>
      </c>
      <c r="E48" s="10" t="s">
        <v>26</v>
      </c>
      <c r="F48" s="10" t="s">
        <v>211</v>
      </c>
      <c r="G48" s="29">
        <v>2500</v>
      </c>
    </row>
    <row r="49" spans="1:7" s="10" customFormat="1" x14ac:dyDescent="0.3">
      <c r="A49" s="10" t="s">
        <v>0</v>
      </c>
      <c r="B49" s="10" t="s">
        <v>1887</v>
      </c>
      <c r="C49" s="10">
        <v>1090302</v>
      </c>
      <c r="D49" s="10" t="s">
        <v>1888</v>
      </c>
      <c r="E49" s="10" t="s">
        <v>26</v>
      </c>
      <c r="F49" s="10" t="s">
        <v>555</v>
      </c>
      <c r="G49" s="29">
        <v>2500</v>
      </c>
    </row>
    <row r="50" spans="1:7" s="10" customFormat="1" x14ac:dyDescent="0.3">
      <c r="A50" s="10" t="s">
        <v>0</v>
      </c>
      <c r="B50" s="10" t="s">
        <v>1930</v>
      </c>
      <c r="C50" s="10">
        <v>1090296</v>
      </c>
      <c r="D50" s="10" t="s">
        <v>1931</v>
      </c>
      <c r="E50" s="10" t="s">
        <v>198</v>
      </c>
      <c r="F50" s="10" t="s">
        <v>142</v>
      </c>
      <c r="G50" s="29">
        <v>2200</v>
      </c>
    </row>
    <row r="51" spans="1:7" s="10" customFormat="1" x14ac:dyDescent="0.3">
      <c r="A51" s="10" t="s">
        <v>0</v>
      </c>
      <c r="B51" s="10" t="s">
        <v>1879</v>
      </c>
      <c r="C51" s="10">
        <v>1090239</v>
      </c>
      <c r="D51" s="10" t="s">
        <v>1880</v>
      </c>
      <c r="E51" s="10" t="s">
        <v>26</v>
      </c>
      <c r="F51" s="10" t="s">
        <v>142</v>
      </c>
      <c r="G51" s="29">
        <v>2000</v>
      </c>
    </row>
    <row r="52" spans="1:7" s="10" customFormat="1" x14ac:dyDescent="0.3">
      <c r="A52" s="10" t="s">
        <v>0</v>
      </c>
      <c r="B52" s="10" t="s">
        <v>77</v>
      </c>
      <c r="C52" s="10">
        <v>1090264</v>
      </c>
      <c r="D52" s="10" t="s">
        <v>1932</v>
      </c>
      <c r="E52" s="10" t="s">
        <v>26</v>
      </c>
      <c r="F52" s="10" t="s">
        <v>142</v>
      </c>
      <c r="G52" s="29">
        <v>2000</v>
      </c>
    </row>
    <row r="53" spans="1:7" s="10" customFormat="1" x14ac:dyDescent="0.3">
      <c r="A53" s="10" t="s">
        <v>0</v>
      </c>
      <c r="B53" s="10" t="s">
        <v>302</v>
      </c>
      <c r="C53" s="10">
        <v>1090254</v>
      </c>
      <c r="D53" s="10" t="s">
        <v>859</v>
      </c>
      <c r="E53" s="10" t="s">
        <v>26</v>
      </c>
      <c r="F53" s="10" t="s">
        <v>142</v>
      </c>
      <c r="G53" s="29">
        <v>2000</v>
      </c>
    </row>
    <row r="54" spans="1:7" s="10" customFormat="1" x14ac:dyDescent="0.3">
      <c r="A54" s="10" t="s">
        <v>0</v>
      </c>
      <c r="B54" s="10" t="s">
        <v>1159</v>
      </c>
      <c r="C54" s="10">
        <v>1090281</v>
      </c>
      <c r="D54" s="10" t="s">
        <v>1933</v>
      </c>
      <c r="E54" s="10" t="s">
        <v>26</v>
      </c>
      <c r="F54" s="10" t="s">
        <v>231</v>
      </c>
      <c r="G54" s="29">
        <v>2500</v>
      </c>
    </row>
    <row r="55" spans="1:7" s="10" customFormat="1" x14ac:dyDescent="0.3">
      <c r="A55" s="10" t="s">
        <v>0</v>
      </c>
      <c r="B55" s="10" t="s">
        <v>1934</v>
      </c>
      <c r="C55" s="10">
        <v>1090267</v>
      </c>
      <c r="D55" s="10" t="s">
        <v>1935</v>
      </c>
      <c r="E55" s="10" t="s">
        <v>26</v>
      </c>
      <c r="F55" s="10" t="s">
        <v>231</v>
      </c>
      <c r="G55" s="29">
        <v>2500</v>
      </c>
    </row>
    <row r="56" spans="1:7" s="10" customFormat="1" x14ac:dyDescent="0.3">
      <c r="A56" s="10" t="s">
        <v>0</v>
      </c>
      <c r="B56" s="10" t="s">
        <v>1159</v>
      </c>
      <c r="C56" s="10">
        <v>1090281</v>
      </c>
      <c r="D56" s="10" t="s">
        <v>1933</v>
      </c>
      <c r="E56" s="10" t="s">
        <v>26</v>
      </c>
      <c r="F56" s="10" t="s">
        <v>233</v>
      </c>
      <c r="G56" s="29">
        <v>2500</v>
      </c>
    </row>
    <row r="57" spans="1:7" s="10" customFormat="1" x14ac:dyDescent="0.3">
      <c r="A57" s="10" t="s">
        <v>0</v>
      </c>
      <c r="B57" s="10" t="s">
        <v>1887</v>
      </c>
      <c r="C57" s="10">
        <v>1090302</v>
      </c>
      <c r="D57" s="10" t="s">
        <v>1888</v>
      </c>
      <c r="E57" s="10" t="s">
        <v>26</v>
      </c>
      <c r="F57" s="10" t="s">
        <v>561</v>
      </c>
      <c r="G57" s="29">
        <v>2500</v>
      </c>
    </row>
    <row r="58" spans="1:7" s="23" customFormat="1" x14ac:dyDescent="0.3">
      <c r="A58" s="23" t="s">
        <v>9</v>
      </c>
      <c r="B58" s="23" t="s">
        <v>1936</v>
      </c>
      <c r="C58" s="23">
        <v>1090279</v>
      </c>
      <c r="D58" s="23" t="s">
        <v>1937</v>
      </c>
      <c r="E58" s="23" t="s">
        <v>26</v>
      </c>
      <c r="F58" s="23" t="s">
        <v>360</v>
      </c>
      <c r="G58" s="30">
        <v>29000</v>
      </c>
    </row>
    <row r="59" spans="1:7" s="23" customFormat="1" x14ac:dyDescent="0.3">
      <c r="A59" s="23" t="s">
        <v>9</v>
      </c>
      <c r="B59" s="23" t="s">
        <v>871</v>
      </c>
      <c r="C59" s="23">
        <v>1090303</v>
      </c>
      <c r="D59" s="23" t="s">
        <v>1938</v>
      </c>
      <c r="E59" s="23" t="s">
        <v>60</v>
      </c>
      <c r="F59" s="23" t="s">
        <v>65</v>
      </c>
      <c r="G59" s="30">
        <v>9000</v>
      </c>
    </row>
    <row r="60" spans="1:7" s="23" customFormat="1" x14ac:dyDescent="0.3">
      <c r="A60" s="23" t="s">
        <v>9</v>
      </c>
      <c r="B60" s="23" t="s">
        <v>1427</v>
      </c>
      <c r="C60" s="23">
        <v>1090240</v>
      </c>
      <c r="D60" s="23" t="s">
        <v>1939</v>
      </c>
      <c r="E60" s="23" t="s">
        <v>44</v>
      </c>
      <c r="F60" s="23" t="s">
        <v>65</v>
      </c>
      <c r="G60" s="30">
        <v>8000</v>
      </c>
    </row>
    <row r="61" spans="1:7" s="23" customFormat="1" x14ac:dyDescent="0.3">
      <c r="A61" s="23" t="s">
        <v>9</v>
      </c>
      <c r="B61" s="23" t="s">
        <v>1212</v>
      </c>
      <c r="C61" s="23">
        <v>1090236</v>
      </c>
      <c r="D61" s="23" t="s">
        <v>1940</v>
      </c>
      <c r="E61" s="23" t="s">
        <v>60</v>
      </c>
      <c r="F61" s="23" t="s">
        <v>270</v>
      </c>
      <c r="G61" s="30">
        <v>32000</v>
      </c>
    </row>
    <row r="62" spans="1:7" s="23" customFormat="1" x14ac:dyDescent="0.3">
      <c r="A62" s="23" t="s">
        <v>9</v>
      </c>
      <c r="B62" s="23" t="s">
        <v>580</v>
      </c>
      <c r="C62" s="23">
        <v>1090237</v>
      </c>
      <c r="D62" s="23" t="s">
        <v>1941</v>
      </c>
      <c r="E62" s="23" t="s">
        <v>201</v>
      </c>
      <c r="F62" s="23" t="s">
        <v>39</v>
      </c>
      <c r="G62" s="30">
        <v>21000</v>
      </c>
    </row>
    <row r="63" spans="1:7" s="23" customFormat="1" x14ac:dyDescent="0.3">
      <c r="A63" s="23" t="s">
        <v>9</v>
      </c>
      <c r="B63" s="23" t="s">
        <v>297</v>
      </c>
      <c r="C63" s="23">
        <v>1090283</v>
      </c>
      <c r="D63" s="23" t="s">
        <v>1942</v>
      </c>
      <c r="E63" s="23" t="s">
        <v>160</v>
      </c>
      <c r="F63" s="23" t="s">
        <v>84</v>
      </c>
      <c r="G63" s="30">
        <v>18000</v>
      </c>
    </row>
    <row r="64" spans="1:7" s="23" customFormat="1" x14ac:dyDescent="0.3">
      <c r="A64" s="23" t="s">
        <v>9</v>
      </c>
      <c r="B64" s="23" t="s">
        <v>1943</v>
      </c>
      <c r="C64" s="23">
        <v>1090294</v>
      </c>
      <c r="D64" s="23" t="s">
        <v>1944</v>
      </c>
      <c r="E64" s="23" t="s">
        <v>26</v>
      </c>
      <c r="F64" s="23" t="s">
        <v>1342</v>
      </c>
      <c r="G64" s="30">
        <v>5000</v>
      </c>
    </row>
    <row r="65" spans="1:7" s="23" customFormat="1" x14ac:dyDescent="0.3">
      <c r="A65" s="23" t="s">
        <v>9</v>
      </c>
      <c r="B65" s="23" t="s">
        <v>1943</v>
      </c>
      <c r="C65" s="23">
        <v>1090294</v>
      </c>
      <c r="D65" s="23" t="s">
        <v>1944</v>
      </c>
      <c r="E65" s="23" t="s">
        <v>26</v>
      </c>
      <c r="F65" s="23" t="s">
        <v>555</v>
      </c>
      <c r="G65" s="30">
        <v>2500</v>
      </c>
    </row>
    <row r="66" spans="1:7" s="23" customFormat="1" x14ac:dyDescent="0.3">
      <c r="A66" s="23" t="s">
        <v>9</v>
      </c>
      <c r="B66" s="23" t="s">
        <v>1943</v>
      </c>
      <c r="C66" s="23">
        <v>1090294</v>
      </c>
      <c r="D66" s="23" t="s">
        <v>1944</v>
      </c>
      <c r="E66" s="23" t="s">
        <v>26</v>
      </c>
      <c r="F66" s="23" t="s">
        <v>226</v>
      </c>
      <c r="G66" s="30">
        <v>2500</v>
      </c>
    </row>
    <row r="67" spans="1:7" x14ac:dyDescent="0.3">
      <c r="A67" s="23" t="s">
        <v>9</v>
      </c>
      <c r="B67" s="23" t="s">
        <v>1945</v>
      </c>
      <c r="C67" s="23">
        <v>1090269</v>
      </c>
      <c r="D67" s="23" t="s">
        <v>1946</v>
      </c>
      <c r="E67" s="23" t="s">
        <v>26</v>
      </c>
      <c r="F67" s="23" t="s">
        <v>184</v>
      </c>
      <c r="G67" s="30">
        <v>2500</v>
      </c>
    </row>
    <row r="68" spans="1:7" x14ac:dyDescent="0.3">
      <c r="A68" s="23" t="s">
        <v>9</v>
      </c>
      <c r="B68" s="23" t="s">
        <v>1945</v>
      </c>
      <c r="C68" s="23">
        <v>1090270</v>
      </c>
      <c r="D68" s="23" t="s">
        <v>1947</v>
      </c>
      <c r="E68" s="23" t="s">
        <v>26</v>
      </c>
      <c r="F68" s="23" t="s">
        <v>184</v>
      </c>
      <c r="G68" s="30">
        <v>2500</v>
      </c>
    </row>
    <row r="69" spans="1:7" x14ac:dyDescent="0.3">
      <c r="A69" s="23" t="s">
        <v>9</v>
      </c>
      <c r="B69" s="23" t="s">
        <v>1945</v>
      </c>
      <c r="C69" s="23">
        <v>1090263</v>
      </c>
      <c r="D69" s="23" t="s">
        <v>1948</v>
      </c>
      <c r="E69" s="23" t="s">
        <v>26</v>
      </c>
      <c r="F69" s="23" t="s">
        <v>184</v>
      </c>
      <c r="G69" s="30">
        <v>2500</v>
      </c>
    </row>
    <row r="70" spans="1:7" x14ac:dyDescent="0.3">
      <c r="A70" t="s">
        <v>185</v>
      </c>
      <c r="B70" t="s">
        <v>1949</v>
      </c>
      <c r="C70">
        <v>1090243</v>
      </c>
      <c r="D70" t="s">
        <v>1950</v>
      </c>
      <c r="E70" t="s">
        <v>26</v>
      </c>
      <c r="F70" t="s">
        <v>1110</v>
      </c>
      <c r="G70" s="31">
        <v>6000</v>
      </c>
    </row>
    <row r="71" spans="1:7" x14ac:dyDescent="0.3">
      <c r="A71" t="s">
        <v>185</v>
      </c>
      <c r="B71" t="s">
        <v>205</v>
      </c>
      <c r="C71">
        <v>1090285</v>
      </c>
      <c r="D71" t="s">
        <v>1951</v>
      </c>
      <c r="E71" t="s">
        <v>26</v>
      </c>
      <c r="F71" t="s">
        <v>71</v>
      </c>
      <c r="G71" s="31">
        <v>6500</v>
      </c>
    </row>
    <row r="72" spans="1:7" x14ac:dyDescent="0.3">
      <c r="A72" t="s">
        <v>185</v>
      </c>
      <c r="B72" t="s">
        <v>186</v>
      </c>
      <c r="C72">
        <v>1090286</v>
      </c>
      <c r="D72" t="s">
        <v>1952</v>
      </c>
      <c r="E72" t="s">
        <v>34</v>
      </c>
      <c r="F72" t="s">
        <v>394</v>
      </c>
      <c r="G72" s="31">
        <v>36000</v>
      </c>
    </row>
    <row r="73" spans="1:7" x14ac:dyDescent="0.3">
      <c r="A73" t="s">
        <v>185</v>
      </c>
      <c r="B73" t="s">
        <v>1953</v>
      </c>
      <c r="C73">
        <v>1090274</v>
      </c>
      <c r="D73" t="s">
        <v>1954</v>
      </c>
      <c r="E73" t="s">
        <v>64</v>
      </c>
      <c r="F73" t="s">
        <v>39</v>
      </c>
      <c r="G73" s="31">
        <v>18000</v>
      </c>
    </row>
    <row r="74" spans="1:7" x14ac:dyDescent="0.3">
      <c r="A74" t="s">
        <v>185</v>
      </c>
      <c r="B74" t="s">
        <v>487</v>
      </c>
      <c r="C74">
        <v>1090266</v>
      </c>
      <c r="D74" t="s">
        <v>1955</v>
      </c>
      <c r="E74" t="s">
        <v>60</v>
      </c>
      <c r="F74" t="s">
        <v>39</v>
      </c>
      <c r="G74" s="31">
        <v>18000</v>
      </c>
    </row>
    <row r="75" spans="1:7" x14ac:dyDescent="0.3">
      <c r="A75" t="s">
        <v>185</v>
      </c>
      <c r="B75" t="s">
        <v>1846</v>
      </c>
      <c r="C75">
        <v>1090241</v>
      </c>
      <c r="D75" t="s">
        <v>1847</v>
      </c>
      <c r="E75" t="s">
        <v>26</v>
      </c>
      <c r="F75" t="s">
        <v>195</v>
      </c>
      <c r="G75" s="31">
        <v>1000</v>
      </c>
    </row>
    <row r="76" spans="1:7" x14ac:dyDescent="0.3">
      <c r="A76" t="s">
        <v>185</v>
      </c>
      <c r="B76" t="s">
        <v>205</v>
      </c>
      <c r="C76">
        <v>1090261</v>
      </c>
      <c r="D76" t="s">
        <v>1956</v>
      </c>
      <c r="E76" t="s">
        <v>26</v>
      </c>
      <c r="F76" t="s">
        <v>124</v>
      </c>
      <c r="G76" s="31">
        <v>3000</v>
      </c>
    </row>
    <row r="77" spans="1:7" x14ac:dyDescent="0.3">
      <c r="A77" t="s">
        <v>185</v>
      </c>
      <c r="B77" t="s">
        <v>205</v>
      </c>
      <c r="C77">
        <v>1090244</v>
      </c>
      <c r="D77" t="s">
        <v>339</v>
      </c>
      <c r="E77" t="s">
        <v>26</v>
      </c>
      <c r="F77" t="s">
        <v>124</v>
      </c>
      <c r="G77" s="31">
        <v>3000</v>
      </c>
    </row>
    <row r="78" spans="1:7" x14ac:dyDescent="0.3">
      <c r="A78" t="s">
        <v>185</v>
      </c>
      <c r="B78" t="s">
        <v>189</v>
      </c>
      <c r="C78">
        <v>1090282</v>
      </c>
      <c r="D78" t="s">
        <v>1957</v>
      </c>
      <c r="E78" t="s">
        <v>26</v>
      </c>
      <c r="F78" t="s">
        <v>129</v>
      </c>
      <c r="G78" s="31">
        <v>3000</v>
      </c>
    </row>
    <row r="79" spans="1:7" x14ac:dyDescent="0.3">
      <c r="A79" t="s">
        <v>185</v>
      </c>
      <c r="B79" t="s">
        <v>295</v>
      </c>
      <c r="C79">
        <v>1090301</v>
      </c>
      <c r="D79" t="s">
        <v>1958</v>
      </c>
      <c r="E79" t="s">
        <v>160</v>
      </c>
      <c r="F79" t="s">
        <v>373</v>
      </c>
      <c r="G79" s="31">
        <v>4000</v>
      </c>
    </row>
    <row r="80" spans="1:7" x14ac:dyDescent="0.3">
      <c r="A80" t="s">
        <v>185</v>
      </c>
      <c r="B80" t="s">
        <v>208</v>
      </c>
      <c r="C80">
        <v>1090306</v>
      </c>
      <c r="D80" t="s">
        <v>1959</v>
      </c>
      <c r="E80" t="s">
        <v>210</v>
      </c>
      <c r="F80" t="s">
        <v>141</v>
      </c>
      <c r="G80" s="31">
        <v>4000</v>
      </c>
    </row>
    <row r="81" spans="1:7" x14ac:dyDescent="0.3">
      <c r="A81" t="s">
        <v>185</v>
      </c>
      <c r="B81" t="s">
        <v>186</v>
      </c>
      <c r="C81">
        <v>1090276</v>
      </c>
      <c r="D81" t="s">
        <v>1960</v>
      </c>
      <c r="E81" t="s">
        <v>201</v>
      </c>
      <c r="F81" t="s">
        <v>141</v>
      </c>
      <c r="G81" s="31">
        <v>2500</v>
      </c>
    </row>
    <row r="82" spans="1:7" x14ac:dyDescent="0.3">
      <c r="A82" t="s">
        <v>185</v>
      </c>
      <c r="B82" t="s">
        <v>208</v>
      </c>
      <c r="C82">
        <v>1090305</v>
      </c>
      <c r="D82" t="s">
        <v>1961</v>
      </c>
      <c r="E82" t="s">
        <v>210</v>
      </c>
      <c r="F82" t="s">
        <v>222</v>
      </c>
      <c r="G82" s="31">
        <v>2000</v>
      </c>
    </row>
    <row r="83" spans="1:7" x14ac:dyDescent="0.3">
      <c r="A83" t="s">
        <v>185</v>
      </c>
      <c r="B83" t="s">
        <v>208</v>
      </c>
      <c r="C83">
        <v>1090308</v>
      </c>
      <c r="D83" t="s">
        <v>1326</v>
      </c>
      <c r="E83" t="s">
        <v>210</v>
      </c>
      <c r="F83" t="s">
        <v>229</v>
      </c>
      <c r="G83" s="31">
        <v>2000</v>
      </c>
    </row>
    <row r="84" spans="1:7" x14ac:dyDescent="0.3">
      <c r="A84" t="s">
        <v>185</v>
      </c>
      <c r="B84" t="s">
        <v>208</v>
      </c>
      <c r="C84">
        <v>1090307</v>
      </c>
      <c r="D84" t="s">
        <v>1962</v>
      </c>
      <c r="E84" t="s">
        <v>210</v>
      </c>
      <c r="F84" t="s">
        <v>233</v>
      </c>
      <c r="G84" s="31">
        <v>2500</v>
      </c>
    </row>
    <row r="85" spans="1:7" x14ac:dyDescent="0.3">
      <c r="A85" t="s">
        <v>185</v>
      </c>
      <c r="B85" t="s">
        <v>487</v>
      </c>
      <c r="C85">
        <v>1090309</v>
      </c>
      <c r="D85" t="s">
        <v>1963</v>
      </c>
      <c r="E85" t="s">
        <v>210</v>
      </c>
      <c r="F85" t="s">
        <v>237</v>
      </c>
      <c r="G85" s="31">
        <v>2000</v>
      </c>
    </row>
    <row r="86" spans="1:7" ht="15" thickBot="1" x14ac:dyDescent="0.35">
      <c r="C86" s="1"/>
      <c r="D86" s="1"/>
      <c r="E86" s="1"/>
      <c r="F86" s="1"/>
      <c r="G86" s="47">
        <f>SUM(G2:G85)</f>
        <v>921420</v>
      </c>
    </row>
    <row r="87" spans="1:7" ht="15" thickTop="1" x14ac:dyDescent="0.3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opLeftCell="A84" workbookViewId="0">
      <selection activeCell="A2" sqref="A2:G103"/>
    </sheetView>
  </sheetViews>
  <sheetFormatPr defaultRowHeight="14.4" x14ac:dyDescent="0.3"/>
  <cols>
    <col min="2" max="2" width="24.21875" customWidth="1"/>
    <col min="3" max="3" width="8.77734375" customWidth="1"/>
    <col min="4" max="4" width="26.77734375" bestFit="1" customWidth="1"/>
    <col min="5" max="5" width="17" customWidth="1"/>
    <col min="6" max="6" width="26.21875" customWidth="1"/>
    <col min="7" max="7" width="11.21875" bestFit="1" customWidth="1"/>
  </cols>
  <sheetData>
    <row r="1" spans="1:7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s="18" customFormat="1" x14ac:dyDescent="0.3">
      <c r="A2" s="18" t="s">
        <v>11</v>
      </c>
      <c r="B2" s="18" t="s">
        <v>1964</v>
      </c>
      <c r="C2" s="18">
        <v>1090354</v>
      </c>
      <c r="D2" s="18" t="s">
        <v>1965</v>
      </c>
      <c r="E2" s="18" t="s">
        <v>1864</v>
      </c>
      <c r="F2" s="18" t="s">
        <v>499</v>
      </c>
      <c r="G2" s="27">
        <v>18000</v>
      </c>
    </row>
    <row r="3" spans="1:7" s="18" customFormat="1" x14ac:dyDescent="0.3">
      <c r="A3" s="18" t="s">
        <v>11</v>
      </c>
      <c r="B3" s="18" t="s">
        <v>1588</v>
      </c>
      <c r="C3" s="18">
        <v>1090357</v>
      </c>
      <c r="D3" s="18" t="s">
        <v>1966</v>
      </c>
      <c r="E3" s="18" t="s">
        <v>26</v>
      </c>
      <c r="F3" s="18" t="s">
        <v>54</v>
      </c>
      <c r="G3" s="27">
        <v>14000</v>
      </c>
    </row>
    <row r="4" spans="1:7" s="18" customFormat="1" x14ac:dyDescent="0.3">
      <c r="A4" s="18" t="s">
        <v>11</v>
      </c>
      <c r="B4" s="18" t="s">
        <v>1967</v>
      </c>
      <c r="C4" s="18">
        <v>1090340</v>
      </c>
      <c r="D4" s="18" t="s">
        <v>1968</v>
      </c>
      <c r="E4" s="18" t="s">
        <v>26</v>
      </c>
      <c r="F4" s="18" t="s">
        <v>259</v>
      </c>
      <c r="G4" s="27">
        <v>12000</v>
      </c>
    </row>
    <row r="5" spans="1:7" s="18" customFormat="1" x14ac:dyDescent="0.3">
      <c r="A5" s="18" t="s">
        <v>11</v>
      </c>
      <c r="B5" s="18" t="s">
        <v>1969</v>
      </c>
      <c r="C5" s="18">
        <v>1090350</v>
      </c>
      <c r="D5" s="18" t="s">
        <v>1970</v>
      </c>
      <c r="E5" s="18" t="s">
        <v>26</v>
      </c>
      <c r="F5" s="18" t="s">
        <v>31</v>
      </c>
      <c r="G5" s="27">
        <v>7500</v>
      </c>
    </row>
    <row r="6" spans="1:7" s="18" customFormat="1" x14ac:dyDescent="0.3">
      <c r="A6" s="18" t="s">
        <v>11</v>
      </c>
      <c r="B6" s="18" t="s">
        <v>1254</v>
      </c>
      <c r="C6" s="18">
        <v>1090383</v>
      </c>
      <c r="D6" s="18" t="s">
        <v>1971</v>
      </c>
      <c r="E6" s="18" t="s">
        <v>26</v>
      </c>
      <c r="F6" s="18" t="s">
        <v>1972</v>
      </c>
      <c r="G6" s="27">
        <v>30000</v>
      </c>
    </row>
    <row r="7" spans="1:7" s="18" customFormat="1" x14ac:dyDescent="0.3">
      <c r="A7" s="18" t="s">
        <v>11</v>
      </c>
      <c r="B7" s="18" t="s">
        <v>1477</v>
      </c>
      <c r="C7" s="18">
        <v>1090311</v>
      </c>
      <c r="D7" s="18" t="s">
        <v>1973</v>
      </c>
      <c r="E7" s="18" t="s">
        <v>38</v>
      </c>
      <c r="F7" s="18" t="s">
        <v>39</v>
      </c>
      <c r="G7" s="27">
        <v>21100</v>
      </c>
    </row>
    <row r="8" spans="1:7" s="18" customFormat="1" x14ac:dyDescent="0.3">
      <c r="A8" s="18" t="s">
        <v>11</v>
      </c>
      <c r="B8" s="18" t="s">
        <v>1974</v>
      </c>
      <c r="C8" s="18">
        <v>1090338</v>
      </c>
      <c r="D8" s="18" t="s">
        <v>1975</v>
      </c>
      <c r="E8" s="18" t="s">
        <v>79</v>
      </c>
      <c r="F8" s="18" t="s">
        <v>39</v>
      </c>
      <c r="G8" s="27">
        <v>22000</v>
      </c>
    </row>
    <row r="9" spans="1:7" s="18" customFormat="1" x14ac:dyDescent="0.3">
      <c r="A9" s="18" t="s">
        <v>11</v>
      </c>
      <c r="B9" s="18" t="s">
        <v>1588</v>
      </c>
      <c r="C9" s="18">
        <v>1090357</v>
      </c>
      <c r="D9" s="18" t="s">
        <v>1966</v>
      </c>
      <c r="E9" s="18" t="s">
        <v>26</v>
      </c>
      <c r="F9" s="18" t="s">
        <v>84</v>
      </c>
      <c r="G9" s="27">
        <v>20000</v>
      </c>
    </row>
    <row r="10" spans="1:7" s="18" customFormat="1" x14ac:dyDescent="0.3">
      <c r="A10" s="18" t="s">
        <v>11</v>
      </c>
      <c r="B10" s="18" t="s">
        <v>1588</v>
      </c>
      <c r="C10" s="18">
        <v>1090357</v>
      </c>
      <c r="D10" s="18" t="s">
        <v>1966</v>
      </c>
      <c r="E10" s="18" t="s">
        <v>26</v>
      </c>
      <c r="F10" s="18" t="s">
        <v>45</v>
      </c>
      <c r="G10" s="27">
        <v>25000</v>
      </c>
    </row>
    <row r="11" spans="1:7" s="18" customFormat="1" x14ac:dyDescent="0.3">
      <c r="A11" s="18" t="s">
        <v>11</v>
      </c>
      <c r="B11" s="18" t="s">
        <v>1588</v>
      </c>
      <c r="C11" s="18">
        <v>1090357</v>
      </c>
      <c r="D11" s="18" t="s">
        <v>1966</v>
      </c>
      <c r="E11" s="18" t="s">
        <v>26</v>
      </c>
      <c r="F11" s="18" t="s">
        <v>793</v>
      </c>
      <c r="G11" s="27">
        <v>20000</v>
      </c>
    </row>
    <row r="12" spans="1:7" s="18" customFormat="1" x14ac:dyDescent="0.3">
      <c r="A12" s="18" t="s">
        <v>11</v>
      </c>
      <c r="B12" s="18" t="s">
        <v>1976</v>
      </c>
      <c r="C12" s="18">
        <v>1090353</v>
      </c>
      <c r="D12" s="18" t="s">
        <v>1977</v>
      </c>
      <c r="E12" s="18" t="s">
        <v>26</v>
      </c>
      <c r="F12" s="18" t="s">
        <v>45</v>
      </c>
      <c r="G12" s="27">
        <v>25000</v>
      </c>
    </row>
    <row r="13" spans="1:7" s="18" customFormat="1" x14ac:dyDescent="0.3">
      <c r="A13" s="18" t="s">
        <v>11</v>
      </c>
      <c r="B13" s="18" t="s">
        <v>1967</v>
      </c>
      <c r="C13" s="18">
        <v>1090334</v>
      </c>
      <c r="D13" s="18" t="s">
        <v>1968</v>
      </c>
      <c r="E13" s="18" t="s">
        <v>26</v>
      </c>
      <c r="F13" s="18" t="s">
        <v>141</v>
      </c>
      <c r="G13" s="27">
        <v>5000</v>
      </c>
    </row>
    <row r="14" spans="1:7" s="10" customFormat="1" x14ac:dyDescent="0.3">
      <c r="A14" s="10" t="s">
        <v>0</v>
      </c>
      <c r="B14" s="10" t="s">
        <v>271</v>
      </c>
      <c r="C14" s="10">
        <v>1090352</v>
      </c>
      <c r="D14" s="10" t="s">
        <v>1978</v>
      </c>
      <c r="E14" s="10" t="s">
        <v>160</v>
      </c>
      <c r="F14" s="10" t="s">
        <v>48</v>
      </c>
      <c r="G14" s="29">
        <v>2500</v>
      </c>
    </row>
    <row r="15" spans="1:7" s="10" customFormat="1" x14ac:dyDescent="0.3">
      <c r="A15" s="10" t="s">
        <v>0</v>
      </c>
      <c r="B15" s="10" t="s">
        <v>1979</v>
      </c>
      <c r="C15" s="10">
        <v>1090387</v>
      </c>
      <c r="D15" s="10" t="s">
        <v>1980</v>
      </c>
      <c r="E15" s="10" t="s">
        <v>26</v>
      </c>
      <c r="F15" s="10" t="s">
        <v>465</v>
      </c>
      <c r="G15" s="29">
        <v>14000</v>
      </c>
    </row>
    <row r="16" spans="1:7" s="10" customFormat="1" x14ac:dyDescent="0.3">
      <c r="A16" s="10" t="s">
        <v>0</v>
      </c>
      <c r="B16" s="10" t="s">
        <v>1981</v>
      </c>
      <c r="C16" s="10">
        <v>1090351</v>
      </c>
      <c r="D16" s="10" t="s">
        <v>1982</v>
      </c>
      <c r="E16" s="10" t="s">
        <v>26</v>
      </c>
      <c r="F16" s="10" t="s">
        <v>360</v>
      </c>
      <c r="G16" s="29">
        <v>29000</v>
      </c>
    </row>
    <row r="17" spans="1:7" s="10" customFormat="1" x14ac:dyDescent="0.3">
      <c r="A17" s="10" t="s">
        <v>0</v>
      </c>
      <c r="B17" s="10" t="s">
        <v>1983</v>
      </c>
      <c r="C17" s="10">
        <v>1090329</v>
      </c>
      <c r="D17" s="10" t="s">
        <v>1984</v>
      </c>
      <c r="E17" s="10" t="s">
        <v>26</v>
      </c>
      <c r="F17" s="10" t="s">
        <v>51</v>
      </c>
      <c r="G17" s="29">
        <v>15000</v>
      </c>
    </row>
    <row r="18" spans="1:7" s="10" customFormat="1" x14ac:dyDescent="0.3">
      <c r="A18" s="10" t="s">
        <v>0</v>
      </c>
      <c r="B18" s="10" t="s">
        <v>1985</v>
      </c>
      <c r="C18" s="10">
        <v>1090355</v>
      </c>
      <c r="D18" s="10" t="s">
        <v>1986</v>
      </c>
      <c r="E18" s="10" t="s">
        <v>26</v>
      </c>
      <c r="F18" s="10" t="s">
        <v>51</v>
      </c>
      <c r="G18" s="29">
        <v>15000</v>
      </c>
    </row>
    <row r="19" spans="1:7" s="10" customFormat="1" x14ac:dyDescent="0.3">
      <c r="A19" s="10" t="s">
        <v>0</v>
      </c>
      <c r="B19" s="10" t="s">
        <v>1616</v>
      </c>
      <c r="C19" s="10">
        <v>1090366</v>
      </c>
      <c r="D19" s="10" t="s">
        <v>1987</v>
      </c>
      <c r="E19" s="10" t="s">
        <v>160</v>
      </c>
      <c r="F19" s="10" t="s">
        <v>27</v>
      </c>
      <c r="G19" s="29">
        <v>10000</v>
      </c>
    </row>
    <row r="20" spans="1:7" s="10" customFormat="1" x14ac:dyDescent="0.3">
      <c r="A20" s="10" t="s">
        <v>0</v>
      </c>
      <c r="B20" s="10" t="s">
        <v>644</v>
      </c>
      <c r="C20" s="10">
        <v>1090377</v>
      </c>
      <c r="D20" s="10" t="s">
        <v>1988</v>
      </c>
      <c r="E20" s="10" t="s">
        <v>38</v>
      </c>
      <c r="F20" s="10" t="s">
        <v>27</v>
      </c>
      <c r="G20" s="29">
        <v>10000</v>
      </c>
    </row>
    <row r="21" spans="1:7" s="10" customFormat="1" x14ac:dyDescent="0.3">
      <c r="A21" s="10" t="s">
        <v>0</v>
      </c>
      <c r="B21" s="10" t="s">
        <v>1420</v>
      </c>
      <c r="C21" s="10">
        <v>1090382</v>
      </c>
      <c r="D21" s="10" t="s">
        <v>1989</v>
      </c>
      <c r="E21" s="10" t="s">
        <v>26</v>
      </c>
      <c r="F21" s="10" t="s">
        <v>27</v>
      </c>
      <c r="G21" s="29">
        <v>12000</v>
      </c>
    </row>
    <row r="22" spans="1:7" s="10" customFormat="1" x14ac:dyDescent="0.3">
      <c r="A22" s="10" t="s">
        <v>0</v>
      </c>
      <c r="B22" s="10" t="s">
        <v>1281</v>
      </c>
      <c r="C22" s="10">
        <v>1090339</v>
      </c>
      <c r="D22" s="10" t="s">
        <v>1990</v>
      </c>
      <c r="E22" s="10" t="s">
        <v>26</v>
      </c>
      <c r="F22" s="10" t="s">
        <v>65</v>
      </c>
      <c r="G22" s="29">
        <v>12000</v>
      </c>
    </row>
    <row r="23" spans="1:7" s="10" customFormat="1" x14ac:dyDescent="0.3">
      <c r="A23" s="10" t="s">
        <v>0</v>
      </c>
      <c r="B23" s="10" t="s">
        <v>69</v>
      </c>
      <c r="C23" s="10">
        <v>1090375</v>
      </c>
      <c r="D23" s="10" t="s">
        <v>1991</v>
      </c>
      <c r="E23" s="10" t="s">
        <v>26</v>
      </c>
      <c r="F23" s="10" t="s">
        <v>71</v>
      </c>
      <c r="G23" s="29">
        <v>6500</v>
      </c>
    </row>
    <row r="24" spans="1:7" s="10" customFormat="1" x14ac:dyDescent="0.3">
      <c r="A24" s="10" t="s">
        <v>0</v>
      </c>
      <c r="B24" s="10" t="s">
        <v>1992</v>
      </c>
      <c r="C24" s="10">
        <v>1090332</v>
      </c>
      <c r="D24" s="10" t="s">
        <v>1993</v>
      </c>
      <c r="E24" s="10" t="s">
        <v>26</v>
      </c>
      <c r="F24" s="10" t="s">
        <v>31</v>
      </c>
      <c r="G24" s="29">
        <v>7500</v>
      </c>
    </row>
    <row r="25" spans="1:7" s="10" customFormat="1" x14ac:dyDescent="0.3">
      <c r="A25" s="10" t="s">
        <v>0</v>
      </c>
      <c r="B25" s="10" t="s">
        <v>1994</v>
      </c>
      <c r="C25" s="10">
        <v>1090317</v>
      </c>
      <c r="D25" s="10" t="s">
        <v>1995</v>
      </c>
      <c r="E25" s="10" t="s">
        <v>34</v>
      </c>
      <c r="F25" s="10" t="s">
        <v>270</v>
      </c>
      <c r="G25" s="29">
        <v>25000</v>
      </c>
    </row>
    <row r="26" spans="1:7" s="10" customFormat="1" x14ac:dyDescent="0.3">
      <c r="A26" s="10" t="s">
        <v>0</v>
      </c>
      <c r="B26" s="10" t="s">
        <v>1996</v>
      </c>
      <c r="C26" s="10">
        <v>1090386</v>
      </c>
      <c r="D26" s="10" t="s">
        <v>1997</v>
      </c>
      <c r="E26" s="10" t="s">
        <v>60</v>
      </c>
      <c r="F26" s="10" t="s">
        <v>74</v>
      </c>
      <c r="G26" s="29">
        <v>18000</v>
      </c>
    </row>
    <row r="27" spans="1:7" s="10" customFormat="1" x14ac:dyDescent="0.3">
      <c r="A27" s="10" t="s">
        <v>0</v>
      </c>
      <c r="B27" s="10" t="s">
        <v>1998</v>
      </c>
      <c r="C27" s="10">
        <v>1090348</v>
      </c>
      <c r="D27" s="10" t="s">
        <v>1999</v>
      </c>
      <c r="E27" s="10" t="s">
        <v>26</v>
      </c>
      <c r="F27" s="10" t="s">
        <v>74</v>
      </c>
      <c r="G27" s="29">
        <v>20000</v>
      </c>
    </row>
    <row r="28" spans="1:7" s="10" customFormat="1" x14ac:dyDescent="0.3">
      <c r="A28" s="10" t="s">
        <v>0</v>
      </c>
      <c r="B28" s="10" t="s">
        <v>2000</v>
      </c>
      <c r="C28" s="10">
        <v>1090312</v>
      </c>
      <c r="D28" s="10" t="s">
        <v>2001</v>
      </c>
      <c r="E28" s="10" t="s">
        <v>34</v>
      </c>
      <c r="F28" s="10" t="s">
        <v>416</v>
      </c>
      <c r="G28" s="29">
        <v>18000</v>
      </c>
    </row>
    <row r="29" spans="1:7" s="10" customFormat="1" x14ac:dyDescent="0.3">
      <c r="A29" s="10" t="s">
        <v>0</v>
      </c>
      <c r="B29" s="10" t="s">
        <v>2000</v>
      </c>
      <c r="C29" s="10">
        <v>1090312</v>
      </c>
      <c r="D29" s="10" t="s">
        <v>2001</v>
      </c>
      <c r="E29" s="10" t="s">
        <v>34</v>
      </c>
      <c r="F29" s="10" t="s">
        <v>84</v>
      </c>
      <c r="G29" s="29">
        <v>18000</v>
      </c>
    </row>
    <row r="30" spans="1:7" s="10" customFormat="1" x14ac:dyDescent="0.3">
      <c r="A30" s="10" t="s">
        <v>0</v>
      </c>
      <c r="B30" s="10" t="s">
        <v>295</v>
      </c>
      <c r="C30" s="10">
        <v>1090341</v>
      </c>
      <c r="D30" s="10" t="s">
        <v>2002</v>
      </c>
      <c r="E30" s="10" t="s">
        <v>34</v>
      </c>
      <c r="F30" s="10" t="s">
        <v>84</v>
      </c>
      <c r="G30" s="29">
        <v>18000</v>
      </c>
    </row>
    <row r="31" spans="1:7" s="10" customFormat="1" x14ac:dyDescent="0.3">
      <c r="A31" s="10" t="s">
        <v>0</v>
      </c>
      <c r="B31" s="10" t="s">
        <v>559</v>
      </c>
      <c r="C31" s="10">
        <v>1090315</v>
      </c>
      <c r="D31" s="10" t="s">
        <v>2003</v>
      </c>
      <c r="E31" s="10" t="s">
        <v>26</v>
      </c>
      <c r="F31" s="10" t="s">
        <v>84</v>
      </c>
      <c r="G31" s="29">
        <v>20000</v>
      </c>
    </row>
    <row r="32" spans="1:7" s="10" customFormat="1" x14ac:dyDescent="0.3">
      <c r="A32" s="10" t="s">
        <v>0</v>
      </c>
      <c r="B32" s="10" t="s">
        <v>90</v>
      </c>
      <c r="C32" s="10">
        <v>1090345</v>
      </c>
      <c r="D32" s="10" t="s">
        <v>2004</v>
      </c>
      <c r="E32" s="10" t="s">
        <v>26</v>
      </c>
      <c r="F32" s="10" t="s">
        <v>1446</v>
      </c>
      <c r="G32" s="29">
        <v>28000</v>
      </c>
    </row>
    <row r="33" spans="1:7" s="10" customFormat="1" x14ac:dyDescent="0.3">
      <c r="A33" s="10" t="s">
        <v>0</v>
      </c>
      <c r="B33" s="10" t="s">
        <v>527</v>
      </c>
      <c r="C33" s="10">
        <v>1090370</v>
      </c>
      <c r="D33" s="10" t="s">
        <v>2005</v>
      </c>
      <c r="E33" s="10" t="s">
        <v>26</v>
      </c>
      <c r="F33" s="10" t="s">
        <v>104</v>
      </c>
      <c r="G33" s="29">
        <v>3000</v>
      </c>
    </row>
    <row r="34" spans="1:7" s="10" customFormat="1" x14ac:dyDescent="0.3">
      <c r="A34" s="10" t="s">
        <v>0</v>
      </c>
      <c r="B34" s="10" t="s">
        <v>271</v>
      </c>
      <c r="C34" s="10">
        <v>1090314</v>
      </c>
      <c r="D34" s="10" t="s">
        <v>2006</v>
      </c>
      <c r="E34" s="10" t="s">
        <v>26</v>
      </c>
      <c r="F34" s="10" t="s">
        <v>104</v>
      </c>
      <c r="G34" s="29">
        <v>3000</v>
      </c>
    </row>
    <row r="35" spans="1:7" s="10" customFormat="1" x14ac:dyDescent="0.3">
      <c r="A35" s="10" t="s">
        <v>0</v>
      </c>
      <c r="B35" s="10" t="s">
        <v>2007</v>
      </c>
      <c r="C35" s="10">
        <v>1090362</v>
      </c>
      <c r="D35" s="10" t="s">
        <v>2008</v>
      </c>
      <c r="E35" s="10" t="s">
        <v>26</v>
      </c>
      <c r="F35" s="10" t="s">
        <v>110</v>
      </c>
      <c r="G35" s="29">
        <v>6000</v>
      </c>
    </row>
    <row r="36" spans="1:7" s="10" customFormat="1" x14ac:dyDescent="0.3">
      <c r="A36" s="10" t="s">
        <v>0</v>
      </c>
      <c r="B36" s="10" t="s">
        <v>2009</v>
      </c>
      <c r="C36" s="10">
        <v>1090343</v>
      </c>
      <c r="D36" s="10" t="s">
        <v>2010</v>
      </c>
      <c r="E36" s="10" t="s">
        <v>26</v>
      </c>
      <c r="F36" s="10" t="s">
        <v>337</v>
      </c>
      <c r="G36" s="29">
        <v>4000</v>
      </c>
    </row>
    <row r="37" spans="1:7" s="10" customFormat="1" x14ac:dyDescent="0.3">
      <c r="A37" s="10" t="s">
        <v>0</v>
      </c>
      <c r="B37" s="10" t="s">
        <v>1175</v>
      </c>
      <c r="C37" s="10">
        <v>1090365</v>
      </c>
      <c r="D37" s="10" t="s">
        <v>2011</v>
      </c>
      <c r="E37" s="10" t="s">
        <v>26</v>
      </c>
      <c r="F37" s="10" t="s">
        <v>2012</v>
      </c>
      <c r="G37" s="29">
        <v>8000</v>
      </c>
    </row>
    <row r="38" spans="1:7" s="10" customFormat="1" x14ac:dyDescent="0.3">
      <c r="A38" s="10" t="s">
        <v>0</v>
      </c>
      <c r="B38" s="10" t="s">
        <v>271</v>
      </c>
      <c r="C38" s="10">
        <v>1090352</v>
      </c>
      <c r="D38" s="10" t="s">
        <v>1978</v>
      </c>
      <c r="E38" s="10" t="s">
        <v>160</v>
      </c>
      <c r="F38" s="10" t="s">
        <v>119</v>
      </c>
      <c r="G38" s="29">
        <v>4000</v>
      </c>
    </row>
    <row r="39" spans="1:7" s="10" customFormat="1" x14ac:dyDescent="0.3">
      <c r="A39" s="10" t="s">
        <v>0</v>
      </c>
      <c r="B39" s="10" t="s">
        <v>1055</v>
      </c>
      <c r="C39" s="10">
        <v>1090376</v>
      </c>
      <c r="D39" s="10" t="s">
        <v>2013</v>
      </c>
      <c r="E39" s="10" t="s">
        <v>26</v>
      </c>
      <c r="F39" s="10" t="s">
        <v>124</v>
      </c>
      <c r="G39" s="29">
        <v>3000</v>
      </c>
    </row>
    <row r="40" spans="1:7" s="10" customFormat="1" x14ac:dyDescent="0.3">
      <c r="A40" s="10" t="s">
        <v>0</v>
      </c>
      <c r="B40" s="10" t="s">
        <v>1738</v>
      </c>
      <c r="C40" s="10">
        <v>1090349</v>
      </c>
      <c r="D40" s="10" t="s">
        <v>2014</v>
      </c>
      <c r="E40" s="10" t="s">
        <v>482</v>
      </c>
      <c r="F40" s="10" t="s">
        <v>124</v>
      </c>
      <c r="G40" s="29">
        <v>4000</v>
      </c>
    </row>
    <row r="41" spans="1:7" s="10" customFormat="1" x14ac:dyDescent="0.3">
      <c r="A41" s="10" t="s">
        <v>0</v>
      </c>
      <c r="B41" s="10" t="s">
        <v>1404</v>
      </c>
      <c r="C41" s="10">
        <v>1090363</v>
      </c>
      <c r="D41" s="10" t="s">
        <v>2008</v>
      </c>
      <c r="E41" s="10" t="s">
        <v>26</v>
      </c>
      <c r="F41" s="10" t="s">
        <v>207</v>
      </c>
      <c r="G41" s="29">
        <v>3000</v>
      </c>
    </row>
    <row r="42" spans="1:7" s="10" customFormat="1" x14ac:dyDescent="0.3">
      <c r="A42" s="10" t="s">
        <v>0</v>
      </c>
      <c r="B42" s="10" t="s">
        <v>694</v>
      </c>
      <c r="C42" s="10">
        <v>1090380</v>
      </c>
      <c r="D42" s="10" t="s">
        <v>2015</v>
      </c>
      <c r="E42" s="10" t="s">
        <v>201</v>
      </c>
      <c r="F42" s="10" t="s">
        <v>292</v>
      </c>
      <c r="G42" s="29">
        <v>4000</v>
      </c>
    </row>
    <row r="43" spans="1:7" s="10" customFormat="1" x14ac:dyDescent="0.3">
      <c r="A43" s="10" t="s">
        <v>0</v>
      </c>
      <c r="B43" s="10" t="s">
        <v>1981</v>
      </c>
      <c r="C43" s="10">
        <v>1090378</v>
      </c>
      <c r="D43" s="10" t="s">
        <v>1982</v>
      </c>
      <c r="E43" s="10" t="s">
        <v>26</v>
      </c>
      <c r="F43" s="10" t="s">
        <v>2016</v>
      </c>
      <c r="G43" s="29">
        <v>4000</v>
      </c>
    </row>
    <row r="44" spans="1:7" s="10" customFormat="1" x14ac:dyDescent="0.3">
      <c r="A44" s="10" t="s">
        <v>0</v>
      </c>
      <c r="B44" s="10" t="s">
        <v>135</v>
      </c>
      <c r="C44" s="10">
        <v>1090385</v>
      </c>
      <c r="D44" s="10" t="s">
        <v>2017</v>
      </c>
      <c r="E44" s="10" t="s">
        <v>26</v>
      </c>
      <c r="F44" s="10" t="s">
        <v>373</v>
      </c>
      <c r="G44" s="29">
        <v>5000</v>
      </c>
    </row>
    <row r="45" spans="1:7" s="10" customFormat="1" x14ac:dyDescent="0.3">
      <c r="A45" s="10" t="s">
        <v>0</v>
      </c>
      <c r="B45" s="10" t="s">
        <v>135</v>
      </c>
      <c r="C45" s="10">
        <v>1090342</v>
      </c>
      <c r="D45" s="10" t="s">
        <v>2018</v>
      </c>
      <c r="E45" s="10" t="s">
        <v>26</v>
      </c>
      <c r="F45" s="10" t="s">
        <v>701</v>
      </c>
      <c r="G45" s="29">
        <v>5000</v>
      </c>
    </row>
    <row r="46" spans="1:7" s="10" customFormat="1" x14ac:dyDescent="0.3">
      <c r="A46" s="10" t="s">
        <v>0</v>
      </c>
      <c r="B46" s="10" t="s">
        <v>135</v>
      </c>
      <c r="C46" s="10">
        <v>1090356</v>
      </c>
      <c r="D46" s="10" t="s">
        <v>2019</v>
      </c>
      <c r="E46" s="10" t="s">
        <v>26</v>
      </c>
      <c r="F46" s="10" t="s">
        <v>701</v>
      </c>
      <c r="G46" s="29">
        <v>5000</v>
      </c>
    </row>
    <row r="47" spans="1:7" s="10" customFormat="1" x14ac:dyDescent="0.3">
      <c r="A47" s="10" t="s">
        <v>0</v>
      </c>
      <c r="B47" s="10" t="s">
        <v>135</v>
      </c>
      <c r="C47" s="10">
        <v>1090388</v>
      </c>
      <c r="D47" s="10" t="s">
        <v>2020</v>
      </c>
      <c r="E47" s="10" t="s">
        <v>26</v>
      </c>
      <c r="F47" s="10" t="s">
        <v>766</v>
      </c>
      <c r="G47" s="29">
        <v>2200</v>
      </c>
    </row>
    <row r="48" spans="1:7" s="10" customFormat="1" x14ac:dyDescent="0.3">
      <c r="A48" s="10" t="s">
        <v>0</v>
      </c>
      <c r="B48" s="10" t="s">
        <v>135</v>
      </c>
      <c r="C48" s="10">
        <v>1090388</v>
      </c>
      <c r="D48" s="10" t="s">
        <v>2020</v>
      </c>
      <c r="E48" s="10" t="s">
        <v>26</v>
      </c>
      <c r="F48" s="10" t="s">
        <v>141</v>
      </c>
      <c r="G48" s="29">
        <v>5000</v>
      </c>
    </row>
    <row r="49" spans="1:7" s="10" customFormat="1" x14ac:dyDescent="0.3">
      <c r="A49" s="10" t="s">
        <v>0</v>
      </c>
      <c r="B49" s="10" t="s">
        <v>135</v>
      </c>
      <c r="C49" s="10">
        <v>1090385</v>
      </c>
      <c r="D49" s="10" t="s">
        <v>2017</v>
      </c>
      <c r="E49" s="10" t="s">
        <v>26</v>
      </c>
      <c r="F49" s="10" t="s">
        <v>141</v>
      </c>
      <c r="G49" s="29">
        <v>5000</v>
      </c>
    </row>
    <row r="50" spans="1:7" s="10" customFormat="1" x14ac:dyDescent="0.3">
      <c r="A50" s="10" t="s">
        <v>0</v>
      </c>
      <c r="B50" s="10" t="s">
        <v>135</v>
      </c>
      <c r="C50" s="10">
        <v>1090356</v>
      </c>
      <c r="D50" s="10" t="s">
        <v>2019</v>
      </c>
      <c r="E50" s="10" t="s">
        <v>26</v>
      </c>
      <c r="F50" s="10" t="s">
        <v>141</v>
      </c>
      <c r="G50" s="29">
        <v>5000</v>
      </c>
    </row>
    <row r="51" spans="1:7" s="10" customFormat="1" x14ac:dyDescent="0.3">
      <c r="A51" s="10" t="s">
        <v>0</v>
      </c>
      <c r="B51" s="10" t="s">
        <v>135</v>
      </c>
      <c r="C51" s="10">
        <v>1090388</v>
      </c>
      <c r="D51" s="10" t="s">
        <v>2020</v>
      </c>
      <c r="E51" s="10" t="s">
        <v>26</v>
      </c>
      <c r="F51" s="10" t="s">
        <v>327</v>
      </c>
      <c r="G51" s="29">
        <v>5000</v>
      </c>
    </row>
    <row r="52" spans="1:7" s="10" customFormat="1" x14ac:dyDescent="0.3">
      <c r="A52" s="10" t="s">
        <v>0</v>
      </c>
      <c r="B52" s="10" t="s">
        <v>2021</v>
      </c>
      <c r="C52" s="10">
        <v>1090330</v>
      </c>
      <c r="D52" s="10" t="s">
        <v>2022</v>
      </c>
      <c r="E52" s="10" t="s">
        <v>79</v>
      </c>
      <c r="F52" s="10" t="s">
        <v>555</v>
      </c>
      <c r="G52" s="29">
        <v>2500</v>
      </c>
    </row>
    <row r="53" spans="1:7" s="10" customFormat="1" x14ac:dyDescent="0.3">
      <c r="A53" s="10" t="s">
        <v>0</v>
      </c>
      <c r="B53" s="10" t="s">
        <v>1994</v>
      </c>
      <c r="C53" s="10">
        <v>1090317</v>
      </c>
      <c r="D53" s="10" t="s">
        <v>1995</v>
      </c>
      <c r="E53" s="10" t="s">
        <v>34</v>
      </c>
      <c r="F53" s="10" t="s">
        <v>142</v>
      </c>
      <c r="G53" s="29">
        <v>1800</v>
      </c>
    </row>
    <row r="54" spans="1:7" s="10" customFormat="1" x14ac:dyDescent="0.3">
      <c r="A54" s="10" t="s">
        <v>0</v>
      </c>
      <c r="B54" s="10" t="s">
        <v>117</v>
      </c>
      <c r="C54" s="10">
        <v>1090360</v>
      </c>
      <c r="D54" s="10" t="s">
        <v>2023</v>
      </c>
      <c r="E54" s="10" t="s">
        <v>26</v>
      </c>
      <c r="F54" s="10" t="s">
        <v>142</v>
      </c>
      <c r="G54" s="29">
        <v>2000</v>
      </c>
    </row>
    <row r="55" spans="1:7" s="10" customFormat="1" x14ac:dyDescent="0.3">
      <c r="A55" s="10" t="s">
        <v>0</v>
      </c>
      <c r="B55" s="10" t="s">
        <v>1876</v>
      </c>
      <c r="C55" s="10">
        <v>1090379</v>
      </c>
      <c r="D55" s="10" t="s">
        <v>2024</v>
      </c>
      <c r="E55" s="10" t="s">
        <v>26</v>
      </c>
      <c r="F55" s="10" t="s">
        <v>142</v>
      </c>
      <c r="G55" s="29">
        <v>2000</v>
      </c>
    </row>
    <row r="56" spans="1:7" s="10" customFormat="1" x14ac:dyDescent="0.3">
      <c r="A56" s="10" t="s">
        <v>0</v>
      </c>
      <c r="B56" s="10" t="s">
        <v>135</v>
      </c>
      <c r="C56" s="10">
        <v>1090342</v>
      </c>
      <c r="D56" s="10" t="s">
        <v>2018</v>
      </c>
      <c r="E56" s="10" t="s">
        <v>26</v>
      </c>
      <c r="F56" s="10" t="s">
        <v>226</v>
      </c>
      <c r="G56" s="29">
        <v>2500</v>
      </c>
    </row>
    <row r="57" spans="1:7" s="10" customFormat="1" x14ac:dyDescent="0.3">
      <c r="A57" s="10" t="s">
        <v>0</v>
      </c>
      <c r="B57" s="10" t="s">
        <v>135</v>
      </c>
      <c r="C57" s="10">
        <v>1090369</v>
      </c>
      <c r="D57" s="10" t="s">
        <v>2025</v>
      </c>
      <c r="E57" s="10" t="s">
        <v>26</v>
      </c>
      <c r="F57" s="10" t="s">
        <v>237</v>
      </c>
      <c r="G57" s="29">
        <v>2500</v>
      </c>
    </row>
    <row r="58" spans="1:7" s="10" customFormat="1" x14ac:dyDescent="0.3">
      <c r="A58" s="10" t="s">
        <v>0</v>
      </c>
      <c r="B58" s="10" t="s">
        <v>697</v>
      </c>
      <c r="C58" s="10">
        <v>1090327</v>
      </c>
      <c r="D58" s="10" t="s">
        <v>2026</v>
      </c>
      <c r="E58" s="10" t="s">
        <v>26</v>
      </c>
      <c r="F58" s="10" t="s">
        <v>561</v>
      </c>
      <c r="G58" s="29">
        <v>2500</v>
      </c>
    </row>
    <row r="59" spans="1:7" s="23" customFormat="1" x14ac:dyDescent="0.3">
      <c r="A59" s="23" t="s">
        <v>9</v>
      </c>
      <c r="B59" s="23" t="s">
        <v>1646</v>
      </c>
      <c r="C59" s="23">
        <v>1090328</v>
      </c>
      <c r="D59" s="23" t="s">
        <v>2027</v>
      </c>
      <c r="E59" s="23" t="s">
        <v>26</v>
      </c>
      <c r="F59" s="23" t="s">
        <v>719</v>
      </c>
      <c r="G59" s="30">
        <v>15000</v>
      </c>
    </row>
    <row r="60" spans="1:7" s="23" customFormat="1" x14ac:dyDescent="0.3">
      <c r="A60" s="23" t="s">
        <v>9</v>
      </c>
      <c r="B60" s="23" t="s">
        <v>422</v>
      </c>
      <c r="C60" s="23">
        <v>1090361</v>
      </c>
      <c r="D60" s="23" t="s">
        <v>2028</v>
      </c>
      <c r="E60" s="23" t="s">
        <v>201</v>
      </c>
      <c r="F60" s="23" t="s">
        <v>51</v>
      </c>
      <c r="G60" s="30">
        <v>18000</v>
      </c>
    </row>
    <row r="61" spans="1:7" s="23" customFormat="1" x14ac:dyDescent="0.3">
      <c r="A61" s="23" t="s">
        <v>9</v>
      </c>
      <c r="B61" s="23" t="s">
        <v>2029</v>
      </c>
      <c r="C61" s="23">
        <v>1090358</v>
      </c>
      <c r="D61" s="23" t="s">
        <v>2030</v>
      </c>
      <c r="E61" s="23" t="s">
        <v>411</v>
      </c>
      <c r="F61" s="23" t="s">
        <v>27</v>
      </c>
      <c r="G61" s="30">
        <v>9000</v>
      </c>
    </row>
    <row r="62" spans="1:7" s="23" customFormat="1" x14ac:dyDescent="0.3">
      <c r="A62" s="23" t="s">
        <v>9</v>
      </c>
      <c r="B62" s="23" t="s">
        <v>2031</v>
      </c>
      <c r="C62" s="23">
        <v>1090323</v>
      </c>
      <c r="D62" s="23" t="s">
        <v>2032</v>
      </c>
      <c r="E62" s="23" t="s">
        <v>26</v>
      </c>
      <c r="F62" s="23" t="s">
        <v>516</v>
      </c>
      <c r="G62" s="30">
        <v>27000</v>
      </c>
    </row>
    <row r="63" spans="1:7" s="23" customFormat="1" x14ac:dyDescent="0.3">
      <c r="A63" s="23" t="s">
        <v>9</v>
      </c>
      <c r="B63" s="23" t="s">
        <v>2033</v>
      </c>
      <c r="C63" s="23">
        <v>1090389</v>
      </c>
      <c r="D63" s="23" t="s">
        <v>2034</v>
      </c>
      <c r="E63" s="23" t="s">
        <v>34</v>
      </c>
      <c r="F63" s="23" t="s">
        <v>416</v>
      </c>
      <c r="G63" s="30">
        <v>18000</v>
      </c>
    </row>
    <row r="64" spans="1:7" s="23" customFormat="1" x14ac:dyDescent="0.3">
      <c r="A64" s="23" t="s">
        <v>9</v>
      </c>
      <c r="B64" s="23" t="s">
        <v>2035</v>
      </c>
      <c r="C64" s="23">
        <v>1090391</v>
      </c>
      <c r="D64" s="23" t="s">
        <v>2036</v>
      </c>
      <c r="E64" s="23" t="s">
        <v>1398</v>
      </c>
      <c r="F64" s="23" t="s">
        <v>39</v>
      </c>
      <c r="G64" s="30">
        <v>22000</v>
      </c>
    </row>
    <row r="65" spans="1:7" s="23" customFormat="1" x14ac:dyDescent="0.3">
      <c r="A65" s="23" t="s">
        <v>9</v>
      </c>
      <c r="B65" s="23" t="s">
        <v>580</v>
      </c>
      <c r="C65" s="23">
        <v>1090371</v>
      </c>
      <c r="D65" s="23" t="s">
        <v>2037</v>
      </c>
      <c r="E65" s="23" t="s">
        <v>26</v>
      </c>
      <c r="F65" s="23" t="s">
        <v>84</v>
      </c>
      <c r="G65" s="30">
        <v>20000</v>
      </c>
    </row>
    <row r="66" spans="1:7" s="23" customFormat="1" x14ac:dyDescent="0.3">
      <c r="A66" s="23" t="s">
        <v>9</v>
      </c>
      <c r="B66" s="23" t="s">
        <v>471</v>
      </c>
      <c r="C66" s="23">
        <v>1090390</v>
      </c>
      <c r="D66" s="23" t="s">
        <v>2038</v>
      </c>
      <c r="E66" s="23" t="s">
        <v>201</v>
      </c>
      <c r="F66" s="23" t="s">
        <v>280</v>
      </c>
      <c r="G66" s="30">
        <v>58000</v>
      </c>
    </row>
    <row r="67" spans="1:7" s="23" customFormat="1" x14ac:dyDescent="0.3">
      <c r="A67" s="23" t="s">
        <v>9</v>
      </c>
      <c r="B67" s="23" t="s">
        <v>889</v>
      </c>
      <c r="C67" s="23">
        <v>1090313</v>
      </c>
      <c r="D67" s="23" t="s">
        <v>2039</v>
      </c>
      <c r="E67" s="23" t="s">
        <v>26</v>
      </c>
      <c r="F67" s="23" t="s">
        <v>45</v>
      </c>
      <c r="G67" s="30">
        <v>25000</v>
      </c>
    </row>
    <row r="68" spans="1:7" s="23" customFormat="1" x14ac:dyDescent="0.3">
      <c r="A68" s="23" t="s">
        <v>9</v>
      </c>
      <c r="B68" s="23" t="s">
        <v>2040</v>
      </c>
      <c r="C68" s="23">
        <v>1090381</v>
      </c>
      <c r="D68" s="23" t="s">
        <v>2041</v>
      </c>
      <c r="E68" s="23" t="s">
        <v>26</v>
      </c>
      <c r="F68" s="23" t="s">
        <v>98</v>
      </c>
      <c r="G68" s="30">
        <v>26000</v>
      </c>
    </row>
    <row r="69" spans="1:7" s="23" customFormat="1" x14ac:dyDescent="0.3">
      <c r="A69" s="23" t="s">
        <v>9</v>
      </c>
      <c r="B69" s="23" t="s">
        <v>1663</v>
      </c>
      <c r="C69" s="23">
        <v>1090326</v>
      </c>
      <c r="D69" s="23" t="s">
        <v>2042</v>
      </c>
      <c r="E69" s="23" t="s">
        <v>26</v>
      </c>
      <c r="F69" s="23" t="s">
        <v>98</v>
      </c>
      <c r="G69" s="30">
        <v>26000</v>
      </c>
    </row>
    <row r="70" spans="1:7" s="23" customFormat="1" x14ac:dyDescent="0.3">
      <c r="A70" s="23" t="s">
        <v>9</v>
      </c>
      <c r="B70" s="23" t="s">
        <v>580</v>
      </c>
      <c r="C70" s="23">
        <v>1090321</v>
      </c>
      <c r="D70" s="23" t="s">
        <v>2043</v>
      </c>
      <c r="E70" s="23" t="s">
        <v>34</v>
      </c>
      <c r="F70" s="23" t="s">
        <v>195</v>
      </c>
      <c r="G70" s="30">
        <v>18000</v>
      </c>
    </row>
    <row r="71" spans="1:7" s="23" customFormat="1" x14ac:dyDescent="0.3">
      <c r="A71" s="23" t="s">
        <v>9</v>
      </c>
      <c r="B71" s="23" t="s">
        <v>422</v>
      </c>
      <c r="C71" s="23">
        <v>1090319</v>
      </c>
      <c r="D71" s="23" t="s">
        <v>2044</v>
      </c>
      <c r="E71" s="23" t="s">
        <v>26</v>
      </c>
      <c r="F71" s="23" t="s">
        <v>104</v>
      </c>
      <c r="G71" s="30">
        <v>3000</v>
      </c>
    </row>
    <row r="72" spans="1:7" s="23" customFormat="1" x14ac:dyDescent="0.3">
      <c r="A72" s="23" t="s">
        <v>9</v>
      </c>
      <c r="B72" s="23" t="s">
        <v>178</v>
      </c>
      <c r="C72" s="23">
        <v>1090331</v>
      </c>
      <c r="D72" s="23" t="s">
        <v>2045</v>
      </c>
      <c r="E72" s="23" t="s">
        <v>26</v>
      </c>
      <c r="F72" s="23" t="s">
        <v>124</v>
      </c>
      <c r="G72" s="30">
        <v>3000</v>
      </c>
    </row>
    <row r="73" spans="1:7" s="23" customFormat="1" x14ac:dyDescent="0.3">
      <c r="A73" s="23" t="s">
        <v>9</v>
      </c>
      <c r="B73" s="23" t="s">
        <v>1562</v>
      </c>
      <c r="C73" s="23">
        <v>1090359</v>
      </c>
      <c r="D73" s="23" t="s">
        <v>2046</v>
      </c>
      <c r="E73" s="23" t="s">
        <v>26</v>
      </c>
      <c r="F73" s="23" t="s">
        <v>124</v>
      </c>
      <c r="G73" s="30">
        <v>3000</v>
      </c>
    </row>
    <row r="74" spans="1:7" s="23" customFormat="1" x14ac:dyDescent="0.3">
      <c r="A74" s="23" t="s">
        <v>9</v>
      </c>
      <c r="B74" s="23" t="s">
        <v>2033</v>
      </c>
      <c r="C74" s="23">
        <v>1090389</v>
      </c>
      <c r="D74" s="23" t="s">
        <v>2034</v>
      </c>
      <c r="E74" s="23" t="s">
        <v>34</v>
      </c>
      <c r="F74" s="23" t="s">
        <v>39</v>
      </c>
      <c r="G74" s="30">
        <v>18000</v>
      </c>
    </row>
    <row r="75" spans="1:7" s="23" customFormat="1" x14ac:dyDescent="0.3">
      <c r="A75" s="23" t="s">
        <v>9</v>
      </c>
      <c r="B75" s="23" t="s">
        <v>422</v>
      </c>
      <c r="C75" s="23">
        <v>1090322</v>
      </c>
      <c r="D75" s="23" t="s">
        <v>2044</v>
      </c>
      <c r="E75" s="23" t="s">
        <v>26</v>
      </c>
      <c r="F75" s="23" t="s">
        <v>129</v>
      </c>
      <c r="G75" s="30">
        <v>3000</v>
      </c>
    </row>
    <row r="76" spans="1:7" x14ac:dyDescent="0.3">
      <c r="A76" s="23" t="s">
        <v>9</v>
      </c>
      <c r="B76" s="23" t="s">
        <v>471</v>
      </c>
      <c r="C76" s="23">
        <v>1090390</v>
      </c>
      <c r="D76" s="23" t="s">
        <v>2038</v>
      </c>
      <c r="E76" s="23" t="s">
        <v>201</v>
      </c>
      <c r="F76" s="23" t="s">
        <v>555</v>
      </c>
      <c r="G76" s="30">
        <v>2500</v>
      </c>
    </row>
    <row r="77" spans="1:7" x14ac:dyDescent="0.3">
      <c r="A77" s="23" t="s">
        <v>9</v>
      </c>
      <c r="B77" s="23" t="s">
        <v>1646</v>
      </c>
      <c r="C77" s="23">
        <v>1090368</v>
      </c>
      <c r="D77" s="23" t="s">
        <v>2047</v>
      </c>
      <c r="E77" s="23" t="s">
        <v>26</v>
      </c>
      <c r="F77" s="23" t="s">
        <v>184</v>
      </c>
      <c r="G77" s="30">
        <v>2500</v>
      </c>
    </row>
    <row r="78" spans="1:7" x14ac:dyDescent="0.3">
      <c r="A78" s="23" t="s">
        <v>9</v>
      </c>
      <c r="B78" s="23" t="s">
        <v>471</v>
      </c>
      <c r="C78" s="23">
        <v>1090390</v>
      </c>
      <c r="D78" s="23" t="s">
        <v>2038</v>
      </c>
      <c r="E78" s="23" t="s">
        <v>201</v>
      </c>
      <c r="F78" s="23" t="s">
        <v>231</v>
      </c>
      <c r="G78" s="30">
        <v>2500</v>
      </c>
    </row>
    <row r="79" spans="1:7" x14ac:dyDescent="0.3">
      <c r="A79" s="23" t="s">
        <v>9</v>
      </c>
      <c r="B79" s="23" t="s">
        <v>471</v>
      </c>
      <c r="C79" s="23">
        <v>1090390</v>
      </c>
      <c r="D79" s="23" t="s">
        <v>2038</v>
      </c>
      <c r="E79" s="23" t="s">
        <v>201</v>
      </c>
      <c r="F79" s="23" t="s">
        <v>561</v>
      </c>
      <c r="G79" s="30">
        <v>2500</v>
      </c>
    </row>
    <row r="80" spans="1:7" x14ac:dyDescent="0.3">
      <c r="A80" t="s">
        <v>185</v>
      </c>
      <c r="B80" t="s">
        <v>186</v>
      </c>
      <c r="C80">
        <v>1090347</v>
      </c>
      <c r="D80" t="s">
        <v>2048</v>
      </c>
      <c r="E80" t="s">
        <v>26</v>
      </c>
      <c r="F80" t="s">
        <v>405</v>
      </c>
      <c r="G80" s="31">
        <v>16000</v>
      </c>
    </row>
    <row r="81" spans="1:7" x14ac:dyDescent="0.3">
      <c r="A81" t="s">
        <v>185</v>
      </c>
      <c r="B81" t="s">
        <v>2049</v>
      </c>
      <c r="C81">
        <v>1090335</v>
      </c>
      <c r="D81" t="s">
        <v>2050</v>
      </c>
      <c r="E81" t="s">
        <v>26</v>
      </c>
      <c r="F81" t="s">
        <v>54</v>
      </c>
      <c r="G81" s="31">
        <v>14000</v>
      </c>
    </row>
    <row r="82" spans="1:7" x14ac:dyDescent="0.3">
      <c r="A82" t="s">
        <v>185</v>
      </c>
      <c r="B82" t="s">
        <v>192</v>
      </c>
      <c r="C82">
        <v>1090316</v>
      </c>
      <c r="D82" t="s">
        <v>2051</v>
      </c>
      <c r="E82" t="s">
        <v>26</v>
      </c>
      <c r="F82" t="s">
        <v>84</v>
      </c>
      <c r="G82" s="31">
        <v>20000</v>
      </c>
    </row>
    <row r="83" spans="1:7" x14ac:dyDescent="0.3">
      <c r="A83" s="25" t="s">
        <v>185</v>
      </c>
      <c r="B83" s="25" t="s">
        <v>2052</v>
      </c>
      <c r="C83" s="25">
        <v>1090367</v>
      </c>
      <c r="D83" s="25" t="s">
        <v>2053</v>
      </c>
      <c r="E83" s="25" t="s">
        <v>160</v>
      </c>
      <c r="F83" s="25" t="s">
        <v>84</v>
      </c>
      <c r="G83" s="32">
        <v>18000</v>
      </c>
    </row>
    <row r="84" spans="1:7" x14ac:dyDescent="0.3">
      <c r="A84" t="s">
        <v>185</v>
      </c>
      <c r="B84" t="s">
        <v>2054</v>
      </c>
      <c r="C84">
        <v>1090325</v>
      </c>
      <c r="D84" t="s">
        <v>2055</v>
      </c>
      <c r="E84" t="s">
        <v>26</v>
      </c>
      <c r="F84" t="s">
        <v>195</v>
      </c>
      <c r="G84" s="31">
        <v>20000</v>
      </c>
    </row>
    <row r="85" spans="1:7" x14ac:dyDescent="0.3">
      <c r="A85" t="s">
        <v>185</v>
      </c>
      <c r="B85" t="s">
        <v>192</v>
      </c>
      <c r="C85">
        <v>1090364</v>
      </c>
      <c r="D85" t="s">
        <v>2056</v>
      </c>
      <c r="E85" t="s">
        <v>26</v>
      </c>
      <c r="F85" t="s">
        <v>837</v>
      </c>
      <c r="G85" s="31">
        <v>8000</v>
      </c>
    </row>
    <row r="86" spans="1:7" x14ac:dyDescent="0.3">
      <c r="A86" t="s">
        <v>185</v>
      </c>
      <c r="B86" t="s">
        <v>2057</v>
      </c>
      <c r="C86">
        <v>1090318</v>
      </c>
      <c r="D86" t="s">
        <v>2058</v>
      </c>
      <c r="E86" t="s">
        <v>26</v>
      </c>
      <c r="F86" t="s">
        <v>124</v>
      </c>
      <c r="G86" s="31">
        <v>3000</v>
      </c>
    </row>
    <row r="87" spans="1:7" x14ac:dyDescent="0.3">
      <c r="A87" t="s">
        <v>185</v>
      </c>
      <c r="B87" t="s">
        <v>344</v>
      </c>
      <c r="C87">
        <v>1090344</v>
      </c>
      <c r="D87" t="s">
        <v>2059</v>
      </c>
      <c r="E87" t="s">
        <v>26</v>
      </c>
      <c r="F87" t="s">
        <v>124</v>
      </c>
      <c r="G87" s="31">
        <v>3000</v>
      </c>
    </row>
    <row r="88" spans="1:7" x14ac:dyDescent="0.3">
      <c r="A88" t="s">
        <v>185</v>
      </c>
      <c r="B88" t="s">
        <v>186</v>
      </c>
      <c r="C88">
        <v>1090324</v>
      </c>
      <c r="D88" t="s">
        <v>2060</v>
      </c>
      <c r="E88" t="s">
        <v>34</v>
      </c>
      <c r="F88" t="s">
        <v>211</v>
      </c>
      <c r="G88" s="31">
        <v>1800</v>
      </c>
    </row>
    <row r="89" spans="1:7" x14ac:dyDescent="0.3">
      <c r="A89" t="s">
        <v>185</v>
      </c>
      <c r="B89" t="s">
        <v>186</v>
      </c>
      <c r="C89">
        <v>1090374</v>
      </c>
      <c r="D89" t="s">
        <v>2061</v>
      </c>
      <c r="E89" t="s">
        <v>26</v>
      </c>
      <c r="F89" t="s">
        <v>211</v>
      </c>
      <c r="G89" s="31">
        <v>2500</v>
      </c>
    </row>
    <row r="90" spans="1:7" x14ac:dyDescent="0.3">
      <c r="A90" t="s">
        <v>185</v>
      </c>
      <c r="B90" t="s">
        <v>208</v>
      </c>
      <c r="C90">
        <v>1090392</v>
      </c>
      <c r="D90" t="s">
        <v>2062</v>
      </c>
      <c r="E90" t="s">
        <v>210</v>
      </c>
      <c r="F90" t="s">
        <v>211</v>
      </c>
      <c r="G90" s="31">
        <v>2000</v>
      </c>
    </row>
    <row r="91" spans="1:7" x14ac:dyDescent="0.3">
      <c r="A91" t="s">
        <v>185</v>
      </c>
      <c r="B91" t="s">
        <v>208</v>
      </c>
      <c r="C91">
        <v>1090395</v>
      </c>
      <c r="D91" t="s">
        <v>2063</v>
      </c>
      <c r="E91" t="s">
        <v>210</v>
      </c>
      <c r="F91" t="s">
        <v>701</v>
      </c>
      <c r="G91" s="31">
        <v>3500</v>
      </c>
    </row>
    <row r="92" spans="1:7" x14ac:dyDescent="0.3">
      <c r="A92" t="s">
        <v>185</v>
      </c>
      <c r="B92" t="s">
        <v>186</v>
      </c>
      <c r="C92">
        <v>1090373</v>
      </c>
      <c r="D92" t="s">
        <v>2064</v>
      </c>
      <c r="E92" t="s">
        <v>2065</v>
      </c>
      <c r="F92" t="s">
        <v>141</v>
      </c>
      <c r="G92" s="31">
        <v>2500</v>
      </c>
    </row>
    <row r="93" spans="1:7" x14ac:dyDescent="0.3">
      <c r="A93" t="s">
        <v>185</v>
      </c>
      <c r="B93" t="s">
        <v>192</v>
      </c>
      <c r="C93">
        <v>1090336</v>
      </c>
      <c r="D93" t="s">
        <v>2066</v>
      </c>
      <c r="E93" t="s">
        <v>60</v>
      </c>
      <c r="F93" t="s">
        <v>141</v>
      </c>
      <c r="G93" s="31">
        <v>2500</v>
      </c>
    </row>
    <row r="94" spans="1:7" x14ac:dyDescent="0.3">
      <c r="A94" t="s">
        <v>185</v>
      </c>
      <c r="B94" t="s">
        <v>186</v>
      </c>
      <c r="C94">
        <v>1090346</v>
      </c>
      <c r="D94" t="s">
        <v>2067</v>
      </c>
      <c r="E94" t="s">
        <v>79</v>
      </c>
      <c r="F94" t="s">
        <v>222</v>
      </c>
      <c r="G94" s="31">
        <v>1800</v>
      </c>
    </row>
    <row r="95" spans="1:7" x14ac:dyDescent="0.3">
      <c r="A95" t="s">
        <v>185</v>
      </c>
      <c r="B95" t="s">
        <v>186</v>
      </c>
      <c r="C95">
        <v>1090384</v>
      </c>
      <c r="D95" t="s">
        <v>2068</v>
      </c>
      <c r="E95" t="s">
        <v>160</v>
      </c>
      <c r="F95" t="s">
        <v>222</v>
      </c>
      <c r="G95" s="31">
        <v>2500</v>
      </c>
    </row>
    <row r="96" spans="1:7" x14ac:dyDescent="0.3">
      <c r="A96" t="s">
        <v>185</v>
      </c>
      <c r="B96" t="s">
        <v>186</v>
      </c>
      <c r="C96">
        <v>1090374</v>
      </c>
      <c r="D96" t="s">
        <v>2061</v>
      </c>
      <c r="E96" t="s">
        <v>26</v>
      </c>
      <c r="F96" t="s">
        <v>222</v>
      </c>
      <c r="G96" s="31">
        <v>2500</v>
      </c>
    </row>
    <row r="97" spans="1:8" x14ac:dyDescent="0.3">
      <c r="A97" t="s">
        <v>185</v>
      </c>
      <c r="B97" t="s">
        <v>208</v>
      </c>
      <c r="C97">
        <v>1090392</v>
      </c>
      <c r="D97" t="s">
        <v>2062</v>
      </c>
      <c r="E97" t="s">
        <v>210</v>
      </c>
      <c r="F97" t="s">
        <v>222</v>
      </c>
      <c r="G97" s="31">
        <v>2000</v>
      </c>
    </row>
    <row r="98" spans="1:8" s="22" customFormat="1" x14ac:dyDescent="0.3">
      <c r="A98" t="s">
        <v>185</v>
      </c>
      <c r="B98" t="s">
        <v>208</v>
      </c>
      <c r="C98">
        <v>1090394</v>
      </c>
      <c r="D98" t="s">
        <v>2069</v>
      </c>
      <c r="E98" t="s">
        <v>210</v>
      </c>
      <c r="F98" t="s">
        <v>226</v>
      </c>
      <c r="G98" s="31">
        <v>2000</v>
      </c>
    </row>
    <row r="99" spans="1:8" s="25" customFormat="1" x14ac:dyDescent="0.3">
      <c r="A99" t="s">
        <v>185</v>
      </c>
      <c r="B99" t="s">
        <v>208</v>
      </c>
      <c r="C99">
        <v>1090393</v>
      </c>
      <c r="D99" t="s">
        <v>2070</v>
      </c>
      <c r="E99" t="s">
        <v>210</v>
      </c>
      <c r="F99" t="s">
        <v>226</v>
      </c>
      <c r="G99" s="31">
        <v>2000</v>
      </c>
    </row>
    <row r="100" spans="1:8" s="25" customFormat="1" x14ac:dyDescent="0.3">
      <c r="A100" t="s">
        <v>185</v>
      </c>
      <c r="B100" t="s">
        <v>192</v>
      </c>
      <c r="C100">
        <v>1090333</v>
      </c>
      <c r="D100" t="s">
        <v>2071</v>
      </c>
      <c r="E100" t="s">
        <v>201</v>
      </c>
      <c r="F100" t="s">
        <v>231</v>
      </c>
      <c r="G100" s="31">
        <v>2500</v>
      </c>
    </row>
    <row r="101" spans="1:8" s="25" customFormat="1" x14ac:dyDescent="0.3">
      <c r="A101" t="s">
        <v>185</v>
      </c>
      <c r="B101" t="s">
        <v>208</v>
      </c>
      <c r="C101">
        <v>1090320</v>
      </c>
      <c r="D101" t="s">
        <v>2072</v>
      </c>
      <c r="E101" t="s">
        <v>411</v>
      </c>
      <c r="F101" t="s">
        <v>233</v>
      </c>
      <c r="G101" s="31">
        <v>2500</v>
      </c>
    </row>
    <row r="102" spans="1:8" s="25" customFormat="1" x14ac:dyDescent="0.3">
      <c r="A102" t="s">
        <v>185</v>
      </c>
      <c r="B102" t="s">
        <v>208</v>
      </c>
      <c r="C102">
        <v>1090394</v>
      </c>
      <c r="D102" t="s">
        <v>2069</v>
      </c>
      <c r="E102" t="s">
        <v>210</v>
      </c>
      <c r="F102" t="s">
        <v>233</v>
      </c>
      <c r="G102" s="31">
        <v>2500</v>
      </c>
    </row>
    <row r="103" spans="1:8" s="25" customFormat="1" x14ac:dyDescent="0.3">
      <c r="A103" t="s">
        <v>185</v>
      </c>
      <c r="B103" t="s">
        <v>196</v>
      </c>
      <c r="C103">
        <v>1090372</v>
      </c>
      <c r="D103" t="s">
        <v>2073</v>
      </c>
      <c r="E103" t="s">
        <v>482</v>
      </c>
      <c r="F103" t="s">
        <v>237</v>
      </c>
      <c r="G103" s="31">
        <v>2500</v>
      </c>
    </row>
    <row r="104" spans="1:8" ht="15" thickBot="1" x14ac:dyDescent="0.35">
      <c r="C104" s="1"/>
      <c r="D104" s="1"/>
      <c r="E104" s="1"/>
      <c r="F104" s="1"/>
      <c r="G104" s="47">
        <f>SUM(G2:G103)</f>
        <v>1078700</v>
      </c>
    </row>
    <row r="105" spans="1:8" ht="15" thickTop="1" x14ac:dyDescent="0.3">
      <c r="C105" s="1"/>
      <c r="D105" s="1"/>
      <c r="E105" s="1"/>
      <c r="F105" s="1"/>
      <c r="G105" s="33">
        <f>'[2]20TH'!K104+'[2]21ST'!K86+'[2]22ND'!K105</f>
        <v>3080100</v>
      </c>
      <c r="H105" s="35" t="e">
        <f>#REF!/G105</f>
        <v>#REF!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opLeftCell="A68" workbookViewId="0">
      <selection activeCell="A2" sqref="A2:G88"/>
    </sheetView>
  </sheetViews>
  <sheetFormatPr defaultRowHeight="14.4" x14ac:dyDescent="0.3"/>
  <cols>
    <col min="1" max="1" width="10.44140625" customWidth="1"/>
    <col min="2" max="2" width="31" bestFit="1" customWidth="1"/>
    <col min="3" max="3" width="9.77734375" customWidth="1"/>
    <col min="4" max="4" width="26.77734375" bestFit="1" customWidth="1"/>
    <col min="5" max="5" width="16.44140625" customWidth="1"/>
    <col min="6" max="6" width="36" customWidth="1"/>
    <col min="7" max="7" width="11" style="16" bestFit="1" customWidth="1"/>
  </cols>
  <sheetData>
    <row r="1" spans="1:7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s="18" customFormat="1" x14ac:dyDescent="0.3">
      <c r="A2" s="18" t="s">
        <v>11</v>
      </c>
      <c r="B2" s="18" t="s">
        <v>395</v>
      </c>
      <c r="C2" s="18">
        <v>1090469</v>
      </c>
      <c r="D2" s="18" t="s">
        <v>2074</v>
      </c>
      <c r="E2" s="18" t="s">
        <v>79</v>
      </c>
      <c r="F2" s="18" t="s">
        <v>498</v>
      </c>
      <c r="G2" s="19">
        <v>22000</v>
      </c>
    </row>
    <row r="3" spans="1:7" s="18" customFormat="1" x14ac:dyDescent="0.3">
      <c r="A3" s="18" t="s">
        <v>11</v>
      </c>
      <c r="B3" s="18" t="s">
        <v>1475</v>
      </c>
      <c r="C3" s="18">
        <v>1090442</v>
      </c>
      <c r="D3" s="18" t="s">
        <v>2075</v>
      </c>
      <c r="E3" s="18" t="s">
        <v>64</v>
      </c>
      <c r="F3" s="18" t="s">
        <v>394</v>
      </c>
      <c r="G3" s="19">
        <v>36000</v>
      </c>
    </row>
    <row r="4" spans="1:7" s="18" customFormat="1" x14ac:dyDescent="0.3">
      <c r="A4" s="18" t="s">
        <v>11</v>
      </c>
      <c r="B4" s="18" t="s">
        <v>2076</v>
      </c>
      <c r="C4" s="18">
        <v>1090445</v>
      </c>
      <c r="D4" s="18" t="s">
        <v>2077</v>
      </c>
      <c r="E4" s="18" t="s">
        <v>160</v>
      </c>
      <c r="F4" s="18" t="s">
        <v>84</v>
      </c>
      <c r="G4" s="19">
        <v>18000</v>
      </c>
    </row>
    <row r="5" spans="1:7" s="18" customFormat="1" x14ac:dyDescent="0.3">
      <c r="A5" s="18" t="s">
        <v>11</v>
      </c>
      <c r="B5" s="18" t="s">
        <v>401</v>
      </c>
      <c r="C5" s="18">
        <v>1090460</v>
      </c>
      <c r="D5" s="18" t="s">
        <v>2078</v>
      </c>
      <c r="E5" s="18" t="s">
        <v>1398</v>
      </c>
      <c r="F5" s="18" t="s">
        <v>45</v>
      </c>
      <c r="G5" s="19">
        <v>24800</v>
      </c>
    </row>
    <row r="6" spans="1:7" s="18" customFormat="1" x14ac:dyDescent="0.3">
      <c r="A6" s="18" t="s">
        <v>11</v>
      </c>
      <c r="B6" s="18" t="s">
        <v>401</v>
      </c>
      <c r="C6" s="18">
        <v>1090461</v>
      </c>
      <c r="D6" s="18" t="s">
        <v>2078</v>
      </c>
      <c r="E6" s="18" t="s">
        <v>26</v>
      </c>
      <c r="F6" s="18" t="s">
        <v>45</v>
      </c>
      <c r="G6" s="19">
        <v>200</v>
      </c>
    </row>
    <row r="7" spans="1:7" s="18" customFormat="1" x14ac:dyDescent="0.3">
      <c r="A7" s="18" t="s">
        <v>11</v>
      </c>
      <c r="B7" s="18" t="s">
        <v>2079</v>
      </c>
      <c r="C7" s="18">
        <v>1090420</v>
      </c>
      <c r="D7" s="18" t="s">
        <v>2080</v>
      </c>
      <c r="E7" s="18" t="s">
        <v>160</v>
      </c>
      <c r="F7" s="18" t="s">
        <v>45</v>
      </c>
      <c r="G7" s="19">
        <v>20000</v>
      </c>
    </row>
    <row r="8" spans="1:7" s="18" customFormat="1" x14ac:dyDescent="0.3">
      <c r="A8" s="18" t="s">
        <v>11</v>
      </c>
      <c r="B8" s="18" t="s">
        <v>2081</v>
      </c>
      <c r="C8" s="18">
        <v>1090474</v>
      </c>
      <c r="D8" s="18" t="s">
        <v>2082</v>
      </c>
      <c r="E8" s="18" t="s">
        <v>201</v>
      </c>
      <c r="F8" s="18" t="s">
        <v>195</v>
      </c>
      <c r="G8" s="19">
        <v>24000</v>
      </c>
    </row>
    <row r="9" spans="1:7" s="10" customFormat="1" x14ac:dyDescent="0.3">
      <c r="A9" s="10" t="s">
        <v>0</v>
      </c>
      <c r="B9" s="10" t="s">
        <v>2083</v>
      </c>
      <c r="C9" s="10">
        <v>1090440</v>
      </c>
      <c r="D9" s="10" t="s">
        <v>2084</v>
      </c>
      <c r="E9" s="10" t="s">
        <v>26</v>
      </c>
      <c r="F9" s="10" t="s">
        <v>719</v>
      </c>
      <c r="G9" s="21">
        <v>15000</v>
      </c>
    </row>
    <row r="10" spans="1:7" s="10" customFormat="1" x14ac:dyDescent="0.3">
      <c r="A10" s="10" t="s">
        <v>0</v>
      </c>
      <c r="B10" s="10" t="s">
        <v>114</v>
      </c>
      <c r="C10" s="10">
        <v>1090454</v>
      </c>
      <c r="D10" s="10" t="s">
        <v>2085</v>
      </c>
      <c r="E10" s="10" t="s">
        <v>26</v>
      </c>
      <c r="F10" s="10" t="s">
        <v>501</v>
      </c>
      <c r="G10" s="21">
        <v>18000</v>
      </c>
    </row>
    <row r="11" spans="1:7" s="10" customFormat="1" x14ac:dyDescent="0.3">
      <c r="A11" s="10" t="s">
        <v>0</v>
      </c>
      <c r="B11" s="10" t="s">
        <v>114</v>
      </c>
      <c r="C11" s="10">
        <v>1090411</v>
      </c>
      <c r="D11" s="10" t="s">
        <v>2086</v>
      </c>
      <c r="E11" s="10" t="s">
        <v>26</v>
      </c>
      <c r="F11" s="10" t="s">
        <v>749</v>
      </c>
      <c r="G11" s="21">
        <v>12000</v>
      </c>
    </row>
    <row r="12" spans="1:7" s="10" customFormat="1" x14ac:dyDescent="0.3">
      <c r="A12" s="10" t="s">
        <v>0</v>
      </c>
      <c r="B12" s="10" t="s">
        <v>293</v>
      </c>
      <c r="C12" s="10">
        <v>1090423</v>
      </c>
      <c r="D12" s="10" t="s">
        <v>2087</v>
      </c>
      <c r="E12" s="10" t="s">
        <v>26</v>
      </c>
      <c r="F12" s="10" t="s">
        <v>65</v>
      </c>
      <c r="G12" s="21">
        <v>12000</v>
      </c>
    </row>
    <row r="13" spans="1:7" s="10" customFormat="1" x14ac:dyDescent="0.3">
      <c r="A13" s="10" t="s">
        <v>0</v>
      </c>
      <c r="B13" s="10" t="s">
        <v>96</v>
      </c>
      <c r="C13" s="10">
        <v>1090409</v>
      </c>
      <c r="D13" s="10" t="s">
        <v>2088</v>
      </c>
      <c r="E13" s="10" t="s">
        <v>26</v>
      </c>
      <c r="F13" s="10" t="s">
        <v>31</v>
      </c>
      <c r="G13" s="21">
        <v>7500</v>
      </c>
    </row>
    <row r="14" spans="1:7" s="10" customFormat="1" x14ac:dyDescent="0.3">
      <c r="A14" s="10" t="s">
        <v>0</v>
      </c>
      <c r="B14" s="10" t="s">
        <v>114</v>
      </c>
      <c r="C14" s="10">
        <v>1090419</v>
      </c>
      <c r="D14" s="10" t="s">
        <v>2089</v>
      </c>
      <c r="E14" s="10" t="s">
        <v>26</v>
      </c>
      <c r="F14" s="10" t="s">
        <v>74</v>
      </c>
      <c r="G14" s="21">
        <v>20000</v>
      </c>
    </row>
    <row r="15" spans="1:7" s="10" customFormat="1" x14ac:dyDescent="0.3">
      <c r="A15" s="10" t="s">
        <v>0</v>
      </c>
      <c r="B15" s="10" t="s">
        <v>530</v>
      </c>
      <c r="C15" s="10">
        <v>1090470</v>
      </c>
      <c r="D15" s="10" t="s">
        <v>2090</v>
      </c>
      <c r="E15" s="10" t="s">
        <v>26</v>
      </c>
      <c r="F15" s="10" t="s">
        <v>74</v>
      </c>
      <c r="G15" s="21">
        <v>20000</v>
      </c>
    </row>
    <row r="16" spans="1:7" s="10" customFormat="1" x14ac:dyDescent="0.3">
      <c r="A16" s="10" t="s">
        <v>0</v>
      </c>
      <c r="B16" s="10" t="s">
        <v>1499</v>
      </c>
      <c r="C16" s="10">
        <v>1090428</v>
      </c>
      <c r="D16" s="10" t="s">
        <v>2091</v>
      </c>
      <c r="E16" s="10" t="s">
        <v>26</v>
      </c>
      <c r="F16" s="10" t="s">
        <v>74</v>
      </c>
      <c r="G16" s="21">
        <v>20000</v>
      </c>
    </row>
    <row r="17" spans="1:7" s="10" customFormat="1" x14ac:dyDescent="0.3">
      <c r="A17" s="10" t="s">
        <v>0</v>
      </c>
      <c r="B17" s="10" t="s">
        <v>114</v>
      </c>
      <c r="C17" s="10">
        <v>1090434</v>
      </c>
      <c r="D17" s="10" t="s">
        <v>2092</v>
      </c>
      <c r="E17" s="10" t="s">
        <v>26</v>
      </c>
      <c r="F17" s="10" t="s">
        <v>74</v>
      </c>
      <c r="G17" s="21">
        <v>15000</v>
      </c>
    </row>
    <row r="18" spans="1:7" s="10" customFormat="1" x14ac:dyDescent="0.3">
      <c r="A18" s="10" t="s">
        <v>0</v>
      </c>
      <c r="B18" s="10" t="s">
        <v>114</v>
      </c>
      <c r="C18" s="10">
        <v>1090471</v>
      </c>
      <c r="D18" s="10" t="s">
        <v>2093</v>
      </c>
      <c r="E18" s="10" t="s">
        <v>26</v>
      </c>
      <c r="F18" s="10" t="s">
        <v>74</v>
      </c>
      <c r="G18" s="21">
        <v>5000</v>
      </c>
    </row>
    <row r="19" spans="1:7" s="10" customFormat="1" x14ac:dyDescent="0.3">
      <c r="A19" s="10" t="s">
        <v>0</v>
      </c>
      <c r="B19" s="10" t="s">
        <v>1417</v>
      </c>
      <c r="C19" s="10">
        <v>1090448</v>
      </c>
      <c r="D19" s="10" t="s">
        <v>2094</v>
      </c>
      <c r="E19" s="10" t="s">
        <v>34</v>
      </c>
      <c r="F19" s="10" t="s">
        <v>2095</v>
      </c>
      <c r="G19" s="21">
        <v>18000</v>
      </c>
    </row>
    <row r="20" spans="1:7" s="10" customFormat="1" x14ac:dyDescent="0.3">
      <c r="A20" s="10" t="s">
        <v>0</v>
      </c>
      <c r="B20" s="10" t="s">
        <v>2096</v>
      </c>
      <c r="C20" s="10">
        <v>1090458</v>
      </c>
      <c r="D20" s="10" t="s">
        <v>2097</v>
      </c>
      <c r="E20" s="10" t="s">
        <v>26</v>
      </c>
      <c r="F20" s="10" t="s">
        <v>84</v>
      </c>
      <c r="G20" s="21">
        <v>20000</v>
      </c>
    </row>
    <row r="21" spans="1:7" s="10" customFormat="1" x14ac:dyDescent="0.3">
      <c r="A21" s="10" t="s">
        <v>0</v>
      </c>
      <c r="B21" s="10" t="s">
        <v>1934</v>
      </c>
      <c r="C21" s="10">
        <v>1090425</v>
      </c>
      <c r="D21" s="10" t="s">
        <v>2098</v>
      </c>
      <c r="E21" s="10" t="s">
        <v>26</v>
      </c>
      <c r="F21" s="10" t="s">
        <v>84</v>
      </c>
      <c r="G21" s="21">
        <v>20000</v>
      </c>
    </row>
    <row r="22" spans="1:7" s="10" customFormat="1" x14ac:dyDescent="0.3">
      <c r="A22" s="10" t="s">
        <v>0</v>
      </c>
      <c r="B22" s="10" t="s">
        <v>297</v>
      </c>
      <c r="C22" s="10">
        <v>1090410</v>
      </c>
      <c r="D22" s="10" t="s">
        <v>2099</v>
      </c>
      <c r="E22" s="10" t="s">
        <v>26</v>
      </c>
      <c r="F22" s="10" t="s">
        <v>84</v>
      </c>
      <c r="G22" s="21">
        <v>20000</v>
      </c>
    </row>
    <row r="23" spans="1:7" s="10" customFormat="1" x14ac:dyDescent="0.3">
      <c r="A23" s="10" t="s">
        <v>0</v>
      </c>
      <c r="B23" s="10" t="s">
        <v>2100</v>
      </c>
      <c r="C23" s="10">
        <v>1090459</v>
      </c>
      <c r="D23" s="10" t="s">
        <v>2101</v>
      </c>
      <c r="E23" s="10" t="s">
        <v>160</v>
      </c>
      <c r="F23" s="10" t="s">
        <v>45</v>
      </c>
      <c r="G23" s="21">
        <v>20000</v>
      </c>
    </row>
    <row r="24" spans="1:7" s="10" customFormat="1" x14ac:dyDescent="0.3">
      <c r="A24" s="10" t="s">
        <v>0</v>
      </c>
      <c r="B24" s="10" t="s">
        <v>2102</v>
      </c>
      <c r="C24" s="10">
        <v>1090416</v>
      </c>
      <c r="D24" s="10" t="s">
        <v>2103</v>
      </c>
      <c r="E24" s="10" t="s">
        <v>26</v>
      </c>
      <c r="F24" s="10" t="s">
        <v>45</v>
      </c>
      <c r="G24" s="21">
        <v>25000</v>
      </c>
    </row>
    <row r="25" spans="1:7" s="10" customFormat="1" x14ac:dyDescent="0.3">
      <c r="A25" s="10" t="s">
        <v>0</v>
      </c>
      <c r="B25" s="10" t="s">
        <v>1985</v>
      </c>
      <c r="C25" s="10">
        <v>1090421</v>
      </c>
      <c r="D25" s="10" t="s">
        <v>1986</v>
      </c>
      <c r="E25" s="10" t="s">
        <v>26</v>
      </c>
      <c r="F25" s="10" t="s">
        <v>98</v>
      </c>
      <c r="G25" s="21">
        <v>26000</v>
      </c>
    </row>
    <row r="26" spans="1:7" s="10" customFormat="1" x14ac:dyDescent="0.3">
      <c r="A26" s="10" t="s">
        <v>0</v>
      </c>
      <c r="B26" s="10" t="s">
        <v>1417</v>
      </c>
      <c r="C26" s="10">
        <v>1090448</v>
      </c>
      <c r="D26" s="10" t="s">
        <v>2094</v>
      </c>
      <c r="E26" s="10" t="s">
        <v>34</v>
      </c>
      <c r="F26" s="10" t="s">
        <v>195</v>
      </c>
      <c r="G26" s="21">
        <v>18000</v>
      </c>
    </row>
    <row r="27" spans="1:7" s="10" customFormat="1" x14ac:dyDescent="0.3">
      <c r="A27" s="10" t="s">
        <v>0</v>
      </c>
      <c r="B27" s="10" t="s">
        <v>1166</v>
      </c>
      <c r="C27" s="10">
        <v>1090408</v>
      </c>
      <c r="D27" s="10" t="s">
        <v>2104</v>
      </c>
      <c r="E27" s="10" t="s">
        <v>60</v>
      </c>
      <c r="F27" s="10" t="s">
        <v>104</v>
      </c>
      <c r="G27" s="21">
        <v>3000</v>
      </c>
    </row>
    <row r="28" spans="1:7" s="10" customFormat="1" x14ac:dyDescent="0.3">
      <c r="A28" s="10" t="s">
        <v>0</v>
      </c>
      <c r="B28" s="10" t="s">
        <v>271</v>
      </c>
      <c r="C28" s="10">
        <v>1090465</v>
      </c>
      <c r="D28" s="10" t="s">
        <v>2105</v>
      </c>
      <c r="E28" s="10" t="s">
        <v>26</v>
      </c>
      <c r="F28" s="10" t="s">
        <v>104</v>
      </c>
      <c r="G28" s="21">
        <v>3000</v>
      </c>
    </row>
    <row r="29" spans="1:7" s="10" customFormat="1" x14ac:dyDescent="0.3">
      <c r="A29" s="10" t="s">
        <v>0</v>
      </c>
      <c r="B29" s="10" t="s">
        <v>271</v>
      </c>
      <c r="C29" s="10">
        <v>1090415</v>
      </c>
      <c r="D29" s="10" t="s">
        <v>2106</v>
      </c>
      <c r="E29" s="10" t="s">
        <v>34</v>
      </c>
      <c r="F29" s="10" t="s">
        <v>104</v>
      </c>
      <c r="G29" s="21">
        <v>4000</v>
      </c>
    </row>
    <row r="30" spans="1:7" s="10" customFormat="1" x14ac:dyDescent="0.3">
      <c r="A30" s="10" t="s">
        <v>0</v>
      </c>
      <c r="B30" s="10" t="s">
        <v>117</v>
      </c>
      <c r="C30" s="10">
        <v>1090412</v>
      </c>
      <c r="D30" s="10" t="s">
        <v>2107</v>
      </c>
      <c r="E30" s="10" t="s">
        <v>26</v>
      </c>
      <c r="F30" s="10" t="s">
        <v>110</v>
      </c>
      <c r="G30" s="21">
        <v>6000</v>
      </c>
    </row>
    <row r="31" spans="1:7" s="10" customFormat="1" x14ac:dyDescent="0.3">
      <c r="A31" s="10" t="s">
        <v>0</v>
      </c>
      <c r="B31" s="10" t="s">
        <v>114</v>
      </c>
      <c r="C31" s="10">
        <v>1090453</v>
      </c>
      <c r="D31" s="10" t="s">
        <v>2108</v>
      </c>
      <c r="E31" s="10" t="s">
        <v>26</v>
      </c>
      <c r="F31" s="10" t="s">
        <v>113</v>
      </c>
      <c r="G31" s="21">
        <v>4000</v>
      </c>
    </row>
    <row r="32" spans="1:7" s="10" customFormat="1" x14ac:dyDescent="0.3">
      <c r="A32" s="10" t="s">
        <v>0</v>
      </c>
      <c r="B32" s="10" t="s">
        <v>862</v>
      </c>
      <c r="C32" s="10">
        <v>1090430</v>
      </c>
      <c r="D32" s="10" t="s">
        <v>2109</v>
      </c>
      <c r="E32" s="10" t="s">
        <v>26</v>
      </c>
      <c r="F32" s="10" t="s">
        <v>113</v>
      </c>
      <c r="G32" s="21">
        <v>4000</v>
      </c>
    </row>
    <row r="33" spans="1:7" s="10" customFormat="1" x14ac:dyDescent="0.3">
      <c r="A33" s="10" t="s">
        <v>0</v>
      </c>
      <c r="B33" s="10" t="s">
        <v>2110</v>
      </c>
      <c r="C33" s="10">
        <v>1090402</v>
      </c>
      <c r="D33" s="10" t="s">
        <v>2111</v>
      </c>
      <c r="E33" s="10" t="s">
        <v>26</v>
      </c>
      <c r="F33" s="10" t="s">
        <v>116</v>
      </c>
      <c r="G33" s="21">
        <v>5000</v>
      </c>
    </row>
    <row r="34" spans="1:7" s="10" customFormat="1" x14ac:dyDescent="0.3">
      <c r="A34" s="10" t="s">
        <v>0</v>
      </c>
      <c r="B34" s="10" t="s">
        <v>271</v>
      </c>
      <c r="C34" s="10">
        <v>1090405</v>
      </c>
      <c r="D34" s="10" t="s">
        <v>2112</v>
      </c>
      <c r="E34" s="10" t="s">
        <v>26</v>
      </c>
      <c r="F34" s="10" t="s">
        <v>119</v>
      </c>
      <c r="G34" s="21">
        <v>3000</v>
      </c>
    </row>
    <row r="35" spans="1:7" s="10" customFormat="1" x14ac:dyDescent="0.3">
      <c r="A35" s="10" t="s">
        <v>0</v>
      </c>
      <c r="B35" s="10" t="s">
        <v>125</v>
      </c>
      <c r="C35" s="10">
        <v>1090443</v>
      </c>
      <c r="D35" s="10" t="s">
        <v>2113</v>
      </c>
      <c r="E35" s="10" t="s">
        <v>79</v>
      </c>
      <c r="F35" s="10" t="s">
        <v>124</v>
      </c>
      <c r="G35" s="21">
        <v>4000</v>
      </c>
    </row>
    <row r="36" spans="1:7" s="10" customFormat="1" x14ac:dyDescent="0.3">
      <c r="A36" s="10" t="s">
        <v>0</v>
      </c>
      <c r="B36" s="10" t="s">
        <v>125</v>
      </c>
      <c r="C36" s="10">
        <v>1090468</v>
      </c>
      <c r="D36" s="10" t="s">
        <v>2114</v>
      </c>
      <c r="E36" s="10" t="s">
        <v>34</v>
      </c>
      <c r="F36" s="10" t="s">
        <v>124</v>
      </c>
      <c r="G36" s="21">
        <v>4000</v>
      </c>
    </row>
    <row r="37" spans="1:7" s="10" customFormat="1" x14ac:dyDescent="0.3">
      <c r="A37" s="10" t="s">
        <v>0</v>
      </c>
      <c r="B37" s="10" t="s">
        <v>125</v>
      </c>
      <c r="C37" s="10">
        <v>1090439</v>
      </c>
      <c r="D37" s="10" t="s">
        <v>2115</v>
      </c>
      <c r="E37" s="10" t="s">
        <v>26</v>
      </c>
      <c r="F37" s="10" t="s">
        <v>124</v>
      </c>
      <c r="G37" s="21">
        <v>3000</v>
      </c>
    </row>
    <row r="38" spans="1:7" s="10" customFormat="1" x14ac:dyDescent="0.3">
      <c r="A38" s="10" t="s">
        <v>0</v>
      </c>
      <c r="B38" s="10" t="s">
        <v>127</v>
      </c>
      <c r="C38" s="10">
        <v>1090472</v>
      </c>
      <c r="D38" s="10" t="s">
        <v>2116</v>
      </c>
      <c r="E38" s="10" t="s">
        <v>34</v>
      </c>
      <c r="F38" s="10" t="s">
        <v>134</v>
      </c>
      <c r="G38" s="21">
        <v>4000</v>
      </c>
    </row>
    <row r="39" spans="1:7" s="10" customFormat="1" x14ac:dyDescent="0.3">
      <c r="A39" s="10" t="s">
        <v>0</v>
      </c>
      <c r="B39" s="10" t="s">
        <v>125</v>
      </c>
      <c r="C39" s="10">
        <v>1090449</v>
      </c>
      <c r="D39" s="10" t="s">
        <v>2117</v>
      </c>
      <c r="E39" s="10" t="s">
        <v>482</v>
      </c>
      <c r="F39" s="10" t="s">
        <v>134</v>
      </c>
      <c r="G39" s="21">
        <v>4000</v>
      </c>
    </row>
    <row r="40" spans="1:7" s="10" customFormat="1" x14ac:dyDescent="0.3">
      <c r="A40" s="10" t="s">
        <v>0</v>
      </c>
      <c r="B40" s="10" t="s">
        <v>2118</v>
      </c>
      <c r="C40" s="10">
        <v>1090414</v>
      </c>
      <c r="D40" s="10" t="s">
        <v>2119</v>
      </c>
      <c r="E40" s="10" t="s">
        <v>26</v>
      </c>
      <c r="F40" s="10" t="s">
        <v>134</v>
      </c>
      <c r="G40" s="21">
        <v>4000</v>
      </c>
    </row>
    <row r="41" spans="1:7" s="10" customFormat="1" x14ac:dyDescent="0.3">
      <c r="A41" s="10" t="s">
        <v>0</v>
      </c>
      <c r="B41" s="10" t="s">
        <v>105</v>
      </c>
      <c r="C41" s="10">
        <v>1090463</v>
      </c>
      <c r="D41" s="10" t="s">
        <v>2120</v>
      </c>
      <c r="E41" s="10" t="s">
        <v>26</v>
      </c>
      <c r="F41" s="10" t="s">
        <v>207</v>
      </c>
      <c r="G41" s="21">
        <v>3000</v>
      </c>
    </row>
    <row r="42" spans="1:7" s="10" customFormat="1" x14ac:dyDescent="0.3">
      <c r="A42" s="10" t="s">
        <v>0</v>
      </c>
      <c r="B42" s="10" t="s">
        <v>367</v>
      </c>
      <c r="C42" s="10">
        <v>1090444</v>
      </c>
      <c r="D42" s="10" t="s">
        <v>2121</v>
      </c>
      <c r="E42" s="10" t="s">
        <v>26</v>
      </c>
      <c r="F42" s="10" t="s">
        <v>211</v>
      </c>
      <c r="G42" s="21">
        <v>5000</v>
      </c>
    </row>
    <row r="43" spans="1:7" s="10" customFormat="1" x14ac:dyDescent="0.3">
      <c r="A43" s="10" t="s">
        <v>0</v>
      </c>
      <c r="B43" s="10" t="s">
        <v>367</v>
      </c>
      <c r="C43" s="10">
        <v>1090444</v>
      </c>
      <c r="D43" s="10" t="s">
        <v>2121</v>
      </c>
      <c r="E43" s="10" t="s">
        <v>26</v>
      </c>
      <c r="F43" s="10" t="s">
        <v>373</v>
      </c>
      <c r="G43" s="21">
        <v>5000</v>
      </c>
    </row>
    <row r="44" spans="1:7" s="10" customFormat="1" x14ac:dyDescent="0.3">
      <c r="A44" s="10" t="s">
        <v>0</v>
      </c>
      <c r="B44" s="10" t="s">
        <v>114</v>
      </c>
      <c r="C44" s="10">
        <v>1090453</v>
      </c>
      <c r="D44" s="10" t="s">
        <v>2108</v>
      </c>
      <c r="E44" s="10" t="s">
        <v>26</v>
      </c>
      <c r="F44" s="10" t="s">
        <v>1342</v>
      </c>
      <c r="G44" s="21">
        <v>5000</v>
      </c>
    </row>
    <row r="45" spans="1:7" s="10" customFormat="1" x14ac:dyDescent="0.3">
      <c r="A45" s="10" t="s">
        <v>0</v>
      </c>
      <c r="B45" s="10" t="s">
        <v>114</v>
      </c>
      <c r="C45" s="10">
        <v>1090453</v>
      </c>
      <c r="D45" s="10" t="s">
        <v>2108</v>
      </c>
      <c r="E45" s="10" t="s">
        <v>26</v>
      </c>
      <c r="F45" s="10" t="s">
        <v>141</v>
      </c>
      <c r="G45" s="21">
        <v>5000</v>
      </c>
    </row>
    <row r="46" spans="1:7" s="10" customFormat="1" x14ac:dyDescent="0.3">
      <c r="A46" s="10" t="s">
        <v>0</v>
      </c>
      <c r="B46" s="10" t="s">
        <v>367</v>
      </c>
      <c r="C46" s="10">
        <v>1090444</v>
      </c>
      <c r="D46" s="10" t="s">
        <v>2121</v>
      </c>
      <c r="E46" s="10" t="s">
        <v>26</v>
      </c>
      <c r="F46" s="10" t="s">
        <v>141</v>
      </c>
      <c r="G46" s="21">
        <v>5000</v>
      </c>
    </row>
    <row r="47" spans="1:7" s="10" customFormat="1" x14ac:dyDescent="0.3">
      <c r="A47" s="10" t="s">
        <v>0</v>
      </c>
      <c r="B47" s="10" t="s">
        <v>2122</v>
      </c>
      <c r="C47" s="10">
        <v>1090466</v>
      </c>
      <c r="D47" s="10" t="s">
        <v>2123</v>
      </c>
      <c r="E47" s="10" t="s">
        <v>26</v>
      </c>
      <c r="F47" s="10" t="s">
        <v>142</v>
      </c>
      <c r="G47" s="21">
        <v>2000</v>
      </c>
    </row>
    <row r="48" spans="1:7" s="10" customFormat="1" x14ac:dyDescent="0.3">
      <c r="A48" s="10" t="s">
        <v>0</v>
      </c>
      <c r="B48" s="10" t="s">
        <v>77</v>
      </c>
      <c r="C48" s="10">
        <v>1090441</v>
      </c>
      <c r="D48" s="10" t="s">
        <v>2124</v>
      </c>
      <c r="E48" s="10" t="s">
        <v>26</v>
      </c>
      <c r="F48" s="10" t="s">
        <v>142</v>
      </c>
      <c r="G48" s="21">
        <v>2000</v>
      </c>
    </row>
    <row r="49" spans="1:7" s="10" customFormat="1" x14ac:dyDescent="0.3">
      <c r="A49" s="10" t="s">
        <v>0</v>
      </c>
      <c r="B49" s="10" t="s">
        <v>1188</v>
      </c>
      <c r="C49" s="10">
        <v>1090436</v>
      </c>
      <c r="D49" s="10" t="s">
        <v>2125</v>
      </c>
      <c r="E49" s="10" t="s">
        <v>26</v>
      </c>
      <c r="F49" s="10" t="s">
        <v>142</v>
      </c>
      <c r="G49" s="21">
        <v>2000</v>
      </c>
    </row>
    <row r="50" spans="1:7" s="10" customFormat="1" x14ac:dyDescent="0.3">
      <c r="A50" s="10" t="s">
        <v>0</v>
      </c>
      <c r="B50" s="10" t="s">
        <v>135</v>
      </c>
      <c r="C50" s="10">
        <v>1090437</v>
      </c>
      <c r="D50" s="10" t="s">
        <v>2126</v>
      </c>
      <c r="E50" s="10" t="s">
        <v>26</v>
      </c>
      <c r="F50" s="10" t="s">
        <v>142</v>
      </c>
      <c r="G50" s="21">
        <v>2000</v>
      </c>
    </row>
    <row r="51" spans="1:7" s="10" customFormat="1" x14ac:dyDescent="0.3">
      <c r="A51" s="10" t="s">
        <v>0</v>
      </c>
      <c r="B51" s="10" t="s">
        <v>77</v>
      </c>
      <c r="C51" s="10">
        <v>1090404</v>
      </c>
      <c r="D51" s="10" t="s">
        <v>2127</v>
      </c>
      <c r="E51" s="10" t="s">
        <v>26</v>
      </c>
      <c r="F51" s="10" t="s">
        <v>226</v>
      </c>
      <c r="G51" s="21">
        <v>2500</v>
      </c>
    </row>
    <row r="52" spans="1:7" s="10" customFormat="1" x14ac:dyDescent="0.3">
      <c r="A52" s="10" t="s">
        <v>0</v>
      </c>
      <c r="B52" s="10" t="s">
        <v>367</v>
      </c>
      <c r="C52" s="10">
        <v>1090444</v>
      </c>
      <c r="D52" s="10" t="s">
        <v>2121</v>
      </c>
      <c r="E52" s="10" t="s">
        <v>26</v>
      </c>
      <c r="F52" s="10" t="s">
        <v>229</v>
      </c>
      <c r="G52" s="21">
        <v>5000</v>
      </c>
    </row>
    <row r="53" spans="1:7" s="10" customFormat="1" x14ac:dyDescent="0.3">
      <c r="A53" s="10" t="s">
        <v>0</v>
      </c>
      <c r="B53" s="10" t="s">
        <v>862</v>
      </c>
      <c r="C53" s="10">
        <v>1090413</v>
      </c>
      <c r="D53" s="10" t="s">
        <v>2128</v>
      </c>
      <c r="E53" s="10" t="s">
        <v>26</v>
      </c>
      <c r="F53" s="10" t="s">
        <v>231</v>
      </c>
      <c r="G53" s="21">
        <v>2500</v>
      </c>
    </row>
    <row r="54" spans="1:7" s="10" customFormat="1" x14ac:dyDescent="0.3">
      <c r="A54" s="10" t="s">
        <v>0</v>
      </c>
      <c r="B54" s="10" t="s">
        <v>367</v>
      </c>
      <c r="C54" s="10">
        <v>1090444</v>
      </c>
      <c r="D54" s="10" t="s">
        <v>2121</v>
      </c>
      <c r="E54" s="10" t="s">
        <v>26</v>
      </c>
      <c r="F54" s="10" t="s">
        <v>231</v>
      </c>
      <c r="G54" s="21">
        <v>2500</v>
      </c>
    </row>
    <row r="55" spans="1:7" s="10" customFormat="1" x14ac:dyDescent="0.3">
      <c r="A55" s="10" t="s">
        <v>0</v>
      </c>
      <c r="B55" s="10" t="s">
        <v>367</v>
      </c>
      <c r="C55" s="10">
        <v>1090444</v>
      </c>
      <c r="D55" s="10" t="s">
        <v>2121</v>
      </c>
      <c r="E55" s="10" t="s">
        <v>26</v>
      </c>
      <c r="F55" s="10" t="s">
        <v>233</v>
      </c>
      <c r="G55" s="21">
        <v>2500</v>
      </c>
    </row>
    <row r="56" spans="1:7" s="23" customFormat="1" x14ac:dyDescent="0.3">
      <c r="A56" s="10" t="s">
        <v>0</v>
      </c>
      <c r="B56" s="10" t="s">
        <v>77</v>
      </c>
      <c r="C56" s="10">
        <v>1090451</v>
      </c>
      <c r="D56" s="10" t="s">
        <v>2129</v>
      </c>
      <c r="E56" s="10" t="s">
        <v>26</v>
      </c>
      <c r="F56" s="10" t="s">
        <v>237</v>
      </c>
      <c r="G56" s="21">
        <v>2500</v>
      </c>
    </row>
    <row r="57" spans="1:7" s="23" customFormat="1" x14ac:dyDescent="0.3">
      <c r="A57" s="23" t="s">
        <v>9</v>
      </c>
      <c r="B57" s="23" t="s">
        <v>1567</v>
      </c>
      <c r="C57" s="23">
        <v>1090399</v>
      </c>
      <c r="D57" s="23" t="s">
        <v>2130</v>
      </c>
      <c r="E57" s="23" t="s">
        <v>26</v>
      </c>
      <c r="F57" s="23" t="s">
        <v>566</v>
      </c>
      <c r="G57" s="24">
        <v>13000</v>
      </c>
    </row>
    <row r="58" spans="1:7" s="23" customFormat="1" x14ac:dyDescent="0.3">
      <c r="A58" s="23" t="s">
        <v>9</v>
      </c>
      <c r="B58" s="23" t="s">
        <v>2131</v>
      </c>
      <c r="C58" s="23">
        <v>1090446</v>
      </c>
      <c r="D58" s="23" t="s">
        <v>2132</v>
      </c>
      <c r="E58" s="23" t="s">
        <v>38</v>
      </c>
      <c r="F58" s="23" t="s">
        <v>499</v>
      </c>
      <c r="G58" s="24">
        <v>18000</v>
      </c>
    </row>
    <row r="59" spans="1:7" s="23" customFormat="1" x14ac:dyDescent="0.3">
      <c r="A59" s="23" t="s">
        <v>9</v>
      </c>
      <c r="B59" s="23" t="s">
        <v>2133</v>
      </c>
      <c r="C59" s="23">
        <v>1090418</v>
      </c>
      <c r="D59" s="23" t="s">
        <v>2134</v>
      </c>
      <c r="E59" s="23" t="s">
        <v>26</v>
      </c>
      <c r="F59" s="23" t="s">
        <v>65</v>
      </c>
      <c r="G59" s="24">
        <v>12000</v>
      </c>
    </row>
    <row r="60" spans="1:7" s="23" customFormat="1" x14ac:dyDescent="0.3">
      <c r="A60" s="23" t="s">
        <v>9</v>
      </c>
      <c r="B60" s="23" t="s">
        <v>1646</v>
      </c>
      <c r="C60" s="23">
        <v>1090447</v>
      </c>
      <c r="D60" s="23" t="s">
        <v>2135</v>
      </c>
      <c r="E60" s="23" t="s">
        <v>26</v>
      </c>
      <c r="F60" s="23" t="s">
        <v>65</v>
      </c>
      <c r="G60" s="24">
        <v>12000</v>
      </c>
    </row>
    <row r="61" spans="1:7" s="23" customFormat="1" x14ac:dyDescent="0.3">
      <c r="A61" s="23" t="s">
        <v>9</v>
      </c>
      <c r="B61" s="23" t="s">
        <v>1646</v>
      </c>
      <c r="C61" s="23">
        <v>1090422</v>
      </c>
      <c r="D61" s="23" t="s">
        <v>2136</v>
      </c>
      <c r="E61" s="23" t="s">
        <v>26</v>
      </c>
      <c r="F61" s="23" t="s">
        <v>65</v>
      </c>
      <c r="G61" s="24">
        <v>12000</v>
      </c>
    </row>
    <row r="62" spans="1:7" s="23" customFormat="1" x14ac:dyDescent="0.3">
      <c r="A62" s="23" t="s">
        <v>9</v>
      </c>
      <c r="B62" s="23" t="s">
        <v>158</v>
      </c>
      <c r="C62" s="23">
        <v>1090452</v>
      </c>
      <c r="D62" s="23" t="s">
        <v>2137</v>
      </c>
      <c r="E62" s="23" t="s">
        <v>201</v>
      </c>
      <c r="F62" s="23" t="s">
        <v>65</v>
      </c>
      <c r="G62" s="24">
        <v>8000</v>
      </c>
    </row>
    <row r="63" spans="1:7" s="23" customFormat="1" x14ac:dyDescent="0.3">
      <c r="A63" s="23" t="s">
        <v>9</v>
      </c>
      <c r="B63" s="23" t="s">
        <v>739</v>
      </c>
      <c r="C63" s="23">
        <v>1090450</v>
      </c>
      <c r="D63" s="23" t="s">
        <v>2138</v>
      </c>
      <c r="E63" s="23" t="s">
        <v>60</v>
      </c>
      <c r="F63" s="23" t="s">
        <v>353</v>
      </c>
      <c r="G63" s="24">
        <v>25000</v>
      </c>
    </row>
    <row r="64" spans="1:7" s="23" customFormat="1" x14ac:dyDescent="0.3">
      <c r="A64" s="23" t="s">
        <v>9</v>
      </c>
      <c r="B64" s="23" t="s">
        <v>727</v>
      </c>
      <c r="C64" s="23">
        <v>1090467</v>
      </c>
      <c r="D64" s="23" t="s">
        <v>2139</v>
      </c>
      <c r="E64" s="23" t="s">
        <v>482</v>
      </c>
      <c r="F64" s="23" t="s">
        <v>353</v>
      </c>
      <c r="G64" s="24">
        <v>28000</v>
      </c>
    </row>
    <row r="65" spans="1:7" s="23" customFormat="1" x14ac:dyDescent="0.3">
      <c r="A65" s="23" t="s">
        <v>9</v>
      </c>
      <c r="B65" s="23" t="s">
        <v>471</v>
      </c>
      <c r="C65" s="23">
        <v>1090431</v>
      </c>
      <c r="D65" s="23" t="s">
        <v>2140</v>
      </c>
      <c r="E65" s="23" t="s">
        <v>305</v>
      </c>
      <c r="F65" s="23" t="s">
        <v>84</v>
      </c>
      <c r="G65" s="24">
        <v>25000</v>
      </c>
    </row>
    <row r="66" spans="1:7" x14ac:dyDescent="0.3">
      <c r="A66" s="23" t="s">
        <v>9</v>
      </c>
      <c r="B66" s="23" t="s">
        <v>1301</v>
      </c>
      <c r="C66" s="23">
        <v>1090400</v>
      </c>
      <c r="D66" s="23" t="s">
        <v>2141</v>
      </c>
      <c r="E66" s="23" t="s">
        <v>26</v>
      </c>
      <c r="F66" s="23" t="s">
        <v>104</v>
      </c>
      <c r="G66" s="24">
        <v>3000</v>
      </c>
    </row>
    <row r="67" spans="1:7" x14ac:dyDescent="0.3">
      <c r="A67" s="23" t="s">
        <v>9</v>
      </c>
      <c r="B67" s="23" t="s">
        <v>1212</v>
      </c>
      <c r="C67" s="23">
        <v>1090462</v>
      </c>
      <c r="D67" s="23" t="s">
        <v>2142</v>
      </c>
      <c r="E67" s="23" t="s">
        <v>26</v>
      </c>
      <c r="F67" s="23" t="s">
        <v>129</v>
      </c>
      <c r="G67" s="24">
        <v>3000</v>
      </c>
    </row>
    <row r="68" spans="1:7" x14ac:dyDescent="0.3">
      <c r="A68" s="23" t="s">
        <v>9</v>
      </c>
      <c r="B68" s="23" t="s">
        <v>1667</v>
      </c>
      <c r="C68" s="23">
        <v>1090417</v>
      </c>
      <c r="D68" s="23" t="s">
        <v>2143</v>
      </c>
      <c r="E68" s="23" t="s">
        <v>201</v>
      </c>
      <c r="F68" s="23" t="s">
        <v>1582</v>
      </c>
      <c r="G68" s="24">
        <v>1800</v>
      </c>
    </row>
    <row r="69" spans="1:7" x14ac:dyDescent="0.3">
      <c r="A69" s="23" t="s">
        <v>9</v>
      </c>
      <c r="B69" s="23" t="s">
        <v>174</v>
      </c>
      <c r="C69" s="23">
        <v>1090406</v>
      </c>
      <c r="D69" s="23" t="s">
        <v>2144</v>
      </c>
      <c r="E69" s="23" t="s">
        <v>26</v>
      </c>
      <c r="F69" s="23" t="s">
        <v>557</v>
      </c>
      <c r="G69" s="24">
        <v>2500</v>
      </c>
    </row>
    <row r="70" spans="1:7" s="23" customFormat="1" x14ac:dyDescent="0.3">
      <c r="A70" s="23" t="s">
        <v>9</v>
      </c>
      <c r="B70" s="23" t="s">
        <v>471</v>
      </c>
      <c r="C70" s="23">
        <v>1090473</v>
      </c>
      <c r="D70" s="23" t="s">
        <v>2140</v>
      </c>
      <c r="E70" s="23" t="s">
        <v>305</v>
      </c>
      <c r="F70" s="23" t="s">
        <v>231</v>
      </c>
      <c r="G70" s="24">
        <v>2500</v>
      </c>
    </row>
    <row r="71" spans="1:7" s="23" customFormat="1" x14ac:dyDescent="0.3">
      <c r="A71" s="23" t="s">
        <v>9</v>
      </c>
      <c r="B71" s="23" t="s">
        <v>174</v>
      </c>
      <c r="C71" s="23">
        <v>1090406</v>
      </c>
      <c r="D71" s="23" t="s">
        <v>2144</v>
      </c>
      <c r="E71" s="23" t="s">
        <v>26</v>
      </c>
      <c r="F71" s="23" t="s">
        <v>233</v>
      </c>
      <c r="G71" s="24">
        <v>2500</v>
      </c>
    </row>
    <row r="72" spans="1:7" x14ac:dyDescent="0.3">
      <c r="A72" s="23" t="s">
        <v>9</v>
      </c>
      <c r="B72" s="23" t="s">
        <v>1667</v>
      </c>
      <c r="C72" s="23">
        <v>1090417</v>
      </c>
      <c r="D72" s="23" t="s">
        <v>2143</v>
      </c>
      <c r="E72" s="23" t="s">
        <v>201</v>
      </c>
      <c r="F72" s="23" t="s">
        <v>233</v>
      </c>
      <c r="G72" s="24">
        <v>2500</v>
      </c>
    </row>
    <row r="73" spans="1:7" x14ac:dyDescent="0.3">
      <c r="A73" t="s">
        <v>185</v>
      </c>
      <c r="B73" t="s">
        <v>420</v>
      </c>
      <c r="C73">
        <v>1090464</v>
      </c>
      <c r="D73" t="s">
        <v>2145</v>
      </c>
      <c r="E73" t="s">
        <v>26</v>
      </c>
      <c r="F73" t="s">
        <v>51</v>
      </c>
      <c r="G73" s="16">
        <v>15000</v>
      </c>
    </row>
    <row r="74" spans="1:7" x14ac:dyDescent="0.3">
      <c r="A74" t="s">
        <v>185</v>
      </c>
      <c r="B74" t="s">
        <v>189</v>
      </c>
      <c r="C74">
        <v>1090401</v>
      </c>
      <c r="D74" t="s">
        <v>2146</v>
      </c>
      <c r="E74" t="s">
        <v>26</v>
      </c>
      <c r="F74" t="s">
        <v>71</v>
      </c>
      <c r="G74" s="16">
        <v>6500</v>
      </c>
    </row>
    <row r="75" spans="1:7" x14ac:dyDescent="0.3">
      <c r="A75" t="s">
        <v>185</v>
      </c>
      <c r="B75" t="s">
        <v>2147</v>
      </c>
      <c r="C75">
        <v>1090426</v>
      </c>
      <c r="D75" t="s">
        <v>2148</v>
      </c>
      <c r="E75" t="s">
        <v>26</v>
      </c>
      <c r="F75" t="s">
        <v>2149</v>
      </c>
      <c r="G75" s="16">
        <v>32000</v>
      </c>
    </row>
    <row r="76" spans="1:7" x14ac:dyDescent="0.3">
      <c r="A76" t="s">
        <v>185</v>
      </c>
      <c r="B76" t="s">
        <v>1580</v>
      </c>
      <c r="C76">
        <v>1090438</v>
      </c>
      <c r="D76" t="s">
        <v>2150</v>
      </c>
      <c r="E76" t="s">
        <v>26</v>
      </c>
      <c r="F76" t="s">
        <v>316</v>
      </c>
      <c r="G76" s="16">
        <v>20000</v>
      </c>
    </row>
    <row r="77" spans="1:7" x14ac:dyDescent="0.3">
      <c r="A77" t="s">
        <v>185</v>
      </c>
      <c r="B77" t="s">
        <v>208</v>
      </c>
      <c r="C77">
        <v>1090424</v>
      </c>
      <c r="D77" t="s">
        <v>2151</v>
      </c>
      <c r="E77" t="s">
        <v>26</v>
      </c>
      <c r="F77" t="s">
        <v>84</v>
      </c>
      <c r="G77" s="16">
        <v>20000</v>
      </c>
    </row>
    <row r="78" spans="1:7" x14ac:dyDescent="0.3">
      <c r="A78" t="s">
        <v>185</v>
      </c>
      <c r="B78" t="s">
        <v>902</v>
      </c>
      <c r="C78">
        <v>1090435</v>
      </c>
      <c r="D78" t="s">
        <v>2152</v>
      </c>
      <c r="E78" t="s">
        <v>26</v>
      </c>
      <c r="F78" t="s">
        <v>45</v>
      </c>
      <c r="G78" s="16">
        <v>25000</v>
      </c>
    </row>
    <row r="79" spans="1:7" x14ac:dyDescent="0.3">
      <c r="A79" t="s">
        <v>185</v>
      </c>
      <c r="B79" t="s">
        <v>186</v>
      </c>
      <c r="C79">
        <v>1090403</v>
      </c>
      <c r="D79" t="s">
        <v>2153</v>
      </c>
      <c r="E79" t="s">
        <v>26</v>
      </c>
      <c r="F79" t="s">
        <v>195</v>
      </c>
      <c r="G79" s="16">
        <v>20000</v>
      </c>
    </row>
    <row r="80" spans="1:7" x14ac:dyDescent="0.3">
      <c r="A80" t="s">
        <v>185</v>
      </c>
      <c r="B80" t="s">
        <v>330</v>
      </c>
      <c r="C80">
        <v>1090398</v>
      </c>
      <c r="D80" t="s">
        <v>2154</v>
      </c>
      <c r="E80" t="s">
        <v>26</v>
      </c>
      <c r="F80" t="s">
        <v>124</v>
      </c>
      <c r="G80" s="16">
        <v>3000</v>
      </c>
    </row>
    <row r="81" spans="1:7" x14ac:dyDescent="0.3">
      <c r="A81" t="s">
        <v>185</v>
      </c>
      <c r="B81" t="s">
        <v>205</v>
      </c>
      <c r="C81">
        <v>1090397</v>
      </c>
      <c r="D81" t="s">
        <v>2155</v>
      </c>
      <c r="E81" t="s">
        <v>26</v>
      </c>
      <c r="F81" t="s">
        <v>124</v>
      </c>
      <c r="G81" s="16">
        <v>3000</v>
      </c>
    </row>
    <row r="82" spans="1:7" x14ac:dyDescent="0.3">
      <c r="A82" t="s">
        <v>185</v>
      </c>
      <c r="B82" t="s">
        <v>2156</v>
      </c>
      <c r="C82">
        <v>1090455</v>
      </c>
      <c r="D82" t="s">
        <v>2157</v>
      </c>
      <c r="E82" t="s">
        <v>26</v>
      </c>
      <c r="F82" t="s">
        <v>142</v>
      </c>
      <c r="G82" s="16">
        <v>1200</v>
      </c>
    </row>
    <row r="83" spans="1:7" x14ac:dyDescent="0.3">
      <c r="A83" t="s">
        <v>185</v>
      </c>
      <c r="B83" t="s">
        <v>2156</v>
      </c>
      <c r="C83">
        <v>1090456</v>
      </c>
      <c r="D83" t="s">
        <v>2158</v>
      </c>
      <c r="E83" t="s">
        <v>26</v>
      </c>
      <c r="F83" t="s">
        <v>142</v>
      </c>
      <c r="G83" s="16">
        <v>1200</v>
      </c>
    </row>
    <row r="84" spans="1:7" x14ac:dyDescent="0.3">
      <c r="A84" t="s">
        <v>185</v>
      </c>
      <c r="B84" t="s">
        <v>2156</v>
      </c>
      <c r="C84">
        <v>1090457</v>
      </c>
      <c r="D84" t="s">
        <v>2159</v>
      </c>
      <c r="E84" t="s">
        <v>26</v>
      </c>
      <c r="F84" t="s">
        <v>142</v>
      </c>
      <c r="G84" s="16">
        <v>1200</v>
      </c>
    </row>
    <row r="85" spans="1:7" x14ac:dyDescent="0.3">
      <c r="A85" t="s">
        <v>185</v>
      </c>
      <c r="B85" t="s">
        <v>208</v>
      </c>
      <c r="C85">
        <v>1090396</v>
      </c>
      <c r="D85" t="s">
        <v>2160</v>
      </c>
      <c r="E85" t="s">
        <v>210</v>
      </c>
      <c r="F85" t="s">
        <v>222</v>
      </c>
      <c r="G85" s="16">
        <v>2000</v>
      </c>
    </row>
    <row r="86" spans="1:7" x14ac:dyDescent="0.3">
      <c r="A86" t="s">
        <v>185</v>
      </c>
      <c r="B86" t="s">
        <v>902</v>
      </c>
      <c r="C86">
        <v>1090432</v>
      </c>
      <c r="D86" t="s">
        <v>2161</v>
      </c>
      <c r="E86" t="s">
        <v>26</v>
      </c>
      <c r="F86" t="s">
        <v>229</v>
      </c>
      <c r="G86" s="16">
        <v>2500</v>
      </c>
    </row>
    <row r="87" spans="1:7" x14ac:dyDescent="0.3">
      <c r="A87" t="s">
        <v>185</v>
      </c>
      <c r="B87" t="s">
        <v>902</v>
      </c>
      <c r="C87">
        <v>1090435</v>
      </c>
      <c r="D87" t="s">
        <v>2152</v>
      </c>
      <c r="E87" t="s">
        <v>26</v>
      </c>
      <c r="F87" t="s">
        <v>231</v>
      </c>
      <c r="G87" s="16">
        <v>2500</v>
      </c>
    </row>
    <row r="88" spans="1:7" x14ac:dyDescent="0.3">
      <c r="A88" t="s">
        <v>185</v>
      </c>
      <c r="B88" t="s">
        <v>902</v>
      </c>
      <c r="C88">
        <v>1090435</v>
      </c>
      <c r="D88" t="s">
        <v>2152</v>
      </c>
      <c r="E88" t="s">
        <v>26</v>
      </c>
      <c r="F88" t="s">
        <v>233</v>
      </c>
      <c r="G88" s="16">
        <v>2500</v>
      </c>
    </row>
    <row r="89" spans="1:7" ht="15" thickBot="1" x14ac:dyDescent="0.35">
      <c r="G89" s="17">
        <f>SUM(G2:G88)</f>
        <v>893400</v>
      </c>
    </row>
    <row r="90" spans="1:7" ht="15" thickTop="1" x14ac:dyDescent="0.3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"/>
  <sheetViews>
    <sheetView topLeftCell="A77" workbookViewId="0">
      <selection activeCell="A2" sqref="A2:G98"/>
    </sheetView>
  </sheetViews>
  <sheetFormatPr defaultColWidth="9.21875" defaultRowHeight="14.4" x14ac:dyDescent="0.3"/>
  <cols>
    <col min="2" max="2" width="28.77734375" customWidth="1"/>
    <col min="4" max="4" width="24.21875" customWidth="1"/>
    <col min="5" max="5" width="22" customWidth="1"/>
    <col min="6" max="6" width="24.44140625" customWidth="1"/>
    <col min="7" max="7" width="11.77734375" bestFit="1" customWidth="1"/>
  </cols>
  <sheetData>
    <row r="1" spans="1:19" s="46" customFormat="1" x14ac:dyDescent="0.3">
      <c r="A1" s="1" t="s">
        <v>13</v>
      </c>
      <c r="B1" s="1" t="s">
        <v>14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19" s="18" customFormat="1" x14ac:dyDescent="0.3">
      <c r="A2" s="18" t="s">
        <v>11</v>
      </c>
      <c r="B2" s="18" t="s">
        <v>2162</v>
      </c>
      <c r="C2" s="18">
        <v>1090487</v>
      </c>
      <c r="D2" s="18" t="s">
        <v>2163</v>
      </c>
      <c r="E2" s="18" t="s">
        <v>2164</v>
      </c>
      <c r="F2" s="18" t="s">
        <v>465</v>
      </c>
      <c r="G2" s="27">
        <v>14000</v>
      </c>
    </row>
    <row r="3" spans="1:19" s="18" customFormat="1" x14ac:dyDescent="0.3">
      <c r="A3" s="18" t="s">
        <v>11</v>
      </c>
      <c r="B3" s="18" t="s">
        <v>2165</v>
      </c>
      <c r="C3" s="18">
        <v>1090492</v>
      </c>
      <c r="D3" s="18" t="s">
        <v>2166</v>
      </c>
      <c r="E3" s="18" t="s">
        <v>26</v>
      </c>
      <c r="F3" s="18" t="s">
        <v>27</v>
      </c>
      <c r="G3" s="27">
        <v>12000</v>
      </c>
    </row>
    <row r="4" spans="1:19" s="18" customFormat="1" x14ac:dyDescent="0.3">
      <c r="A4" s="18" t="s">
        <v>11</v>
      </c>
      <c r="B4" s="18" t="s">
        <v>2167</v>
      </c>
      <c r="C4" s="18">
        <v>1090499</v>
      </c>
      <c r="D4" s="18" t="s">
        <v>2168</v>
      </c>
      <c r="E4" s="18" t="s">
        <v>26</v>
      </c>
      <c r="F4" s="18" t="s">
        <v>2169</v>
      </c>
      <c r="G4" s="27">
        <v>12000</v>
      </c>
    </row>
    <row r="5" spans="1:19" s="18" customFormat="1" x14ac:dyDescent="0.3">
      <c r="A5" s="18" t="s">
        <v>11</v>
      </c>
      <c r="B5" s="18" t="s">
        <v>2170</v>
      </c>
      <c r="C5" s="18">
        <v>1090537</v>
      </c>
      <c r="D5" s="18" t="s">
        <v>2171</v>
      </c>
      <c r="E5" s="18" t="s">
        <v>26</v>
      </c>
      <c r="F5" s="18" t="s">
        <v>2172</v>
      </c>
      <c r="G5" s="27">
        <v>12000</v>
      </c>
    </row>
    <row r="6" spans="1:19" s="18" customFormat="1" x14ac:dyDescent="0.3">
      <c r="A6" s="18" t="s">
        <v>11</v>
      </c>
      <c r="B6" s="18" t="s">
        <v>487</v>
      </c>
      <c r="C6" s="18">
        <v>1090535</v>
      </c>
      <c r="D6" s="18" t="s">
        <v>2173</v>
      </c>
      <c r="E6" s="18" t="s">
        <v>26</v>
      </c>
      <c r="F6" s="18" t="s">
        <v>39</v>
      </c>
      <c r="G6" s="27">
        <v>20000</v>
      </c>
    </row>
    <row r="7" spans="1:19" s="18" customFormat="1" x14ac:dyDescent="0.3">
      <c r="A7" s="18" t="s">
        <v>11</v>
      </c>
      <c r="B7" s="18" t="s">
        <v>2174</v>
      </c>
      <c r="C7" s="18">
        <v>1090476</v>
      </c>
      <c r="D7" s="18" t="s">
        <v>2175</v>
      </c>
      <c r="E7" s="18" t="s">
        <v>26</v>
      </c>
      <c r="F7" s="18" t="s">
        <v>84</v>
      </c>
      <c r="G7" s="27">
        <v>20000</v>
      </c>
    </row>
    <row r="8" spans="1:19" s="18" customFormat="1" x14ac:dyDescent="0.3">
      <c r="A8" s="18" t="s">
        <v>11</v>
      </c>
      <c r="B8" s="18" t="s">
        <v>2176</v>
      </c>
      <c r="C8" s="18">
        <v>1090485</v>
      </c>
      <c r="D8" s="18" t="s">
        <v>2177</v>
      </c>
      <c r="E8" s="18" t="s">
        <v>26</v>
      </c>
      <c r="F8" s="18" t="s">
        <v>45</v>
      </c>
      <c r="G8" s="27">
        <v>25000</v>
      </c>
    </row>
    <row r="9" spans="1:19" s="18" customFormat="1" x14ac:dyDescent="0.3">
      <c r="A9" s="18" t="s">
        <v>11</v>
      </c>
      <c r="B9" s="18" t="s">
        <v>395</v>
      </c>
      <c r="C9" s="18">
        <v>1090559</v>
      </c>
      <c r="D9" s="18" t="s">
        <v>2178</v>
      </c>
      <c r="E9" s="18" t="s">
        <v>1398</v>
      </c>
      <c r="F9" s="18" t="s">
        <v>195</v>
      </c>
      <c r="G9" s="27">
        <v>25000</v>
      </c>
    </row>
    <row r="10" spans="1:19" s="18" customFormat="1" x14ac:dyDescent="0.3">
      <c r="A10" s="18" t="s">
        <v>2179</v>
      </c>
      <c r="B10" s="18" t="s">
        <v>487</v>
      </c>
      <c r="C10" s="18">
        <v>1090509</v>
      </c>
      <c r="D10" s="18" t="s">
        <v>2180</v>
      </c>
      <c r="E10" s="18" t="s">
        <v>26</v>
      </c>
      <c r="F10" s="18" t="s">
        <v>39</v>
      </c>
      <c r="G10" s="27">
        <v>20000</v>
      </c>
    </row>
    <row r="11" spans="1:19" s="10" customFormat="1" x14ac:dyDescent="0.3">
      <c r="A11" s="18" t="s">
        <v>11</v>
      </c>
      <c r="B11" s="18" t="s">
        <v>36</v>
      </c>
      <c r="C11" s="18">
        <v>1090530</v>
      </c>
      <c r="D11" s="18" t="s">
        <v>2181</v>
      </c>
      <c r="E11" s="18" t="s">
        <v>64</v>
      </c>
      <c r="F11" s="18" t="s">
        <v>168</v>
      </c>
      <c r="G11" s="27">
        <v>18000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s="10" customFormat="1" x14ac:dyDescent="0.3">
      <c r="A12" s="18" t="s">
        <v>11</v>
      </c>
      <c r="B12" s="18" t="s">
        <v>2182</v>
      </c>
      <c r="C12" s="18">
        <v>1090477</v>
      </c>
      <c r="D12" s="18" t="s">
        <v>2183</v>
      </c>
      <c r="E12" s="18" t="s">
        <v>26</v>
      </c>
      <c r="F12" s="18" t="s">
        <v>113</v>
      </c>
      <c r="G12" s="27">
        <v>4000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s="10" customFormat="1" x14ac:dyDescent="0.3">
      <c r="A13" s="10" t="s">
        <v>0</v>
      </c>
      <c r="B13" s="10" t="s">
        <v>1930</v>
      </c>
      <c r="C13" s="10">
        <v>1090548</v>
      </c>
      <c r="D13" s="10" t="s">
        <v>2184</v>
      </c>
      <c r="E13" s="10" t="s">
        <v>26</v>
      </c>
      <c r="F13" s="10" t="s">
        <v>48</v>
      </c>
      <c r="G13" s="29">
        <v>2500</v>
      </c>
    </row>
    <row r="14" spans="1:19" s="10" customFormat="1" x14ac:dyDescent="0.3">
      <c r="A14" s="10" t="s">
        <v>0</v>
      </c>
      <c r="B14" s="10" t="s">
        <v>1876</v>
      </c>
      <c r="C14" s="10">
        <v>1090558</v>
      </c>
      <c r="D14" s="10" t="s">
        <v>2185</v>
      </c>
      <c r="E14" s="10" t="s">
        <v>26</v>
      </c>
      <c r="F14" s="10" t="s">
        <v>1706</v>
      </c>
      <c r="G14" s="29">
        <v>20000</v>
      </c>
    </row>
    <row r="15" spans="1:19" s="10" customFormat="1" x14ac:dyDescent="0.3">
      <c r="A15" s="10" t="s">
        <v>0</v>
      </c>
      <c r="B15" s="10" t="s">
        <v>2186</v>
      </c>
      <c r="C15" s="10">
        <v>1090526</v>
      </c>
      <c r="D15" s="10" t="s">
        <v>2187</v>
      </c>
      <c r="E15" s="10" t="s">
        <v>26</v>
      </c>
      <c r="F15" s="10" t="s">
        <v>360</v>
      </c>
      <c r="G15" s="29">
        <v>29000</v>
      </c>
    </row>
    <row r="16" spans="1:19" s="10" customFormat="1" x14ac:dyDescent="0.3">
      <c r="A16" s="10" t="s">
        <v>0</v>
      </c>
      <c r="B16" s="10" t="s">
        <v>77</v>
      </c>
      <c r="C16" s="10">
        <v>1090497</v>
      </c>
      <c r="D16" s="10" t="s">
        <v>2188</v>
      </c>
      <c r="E16" s="10" t="s">
        <v>26</v>
      </c>
      <c r="F16" s="10" t="s">
        <v>719</v>
      </c>
      <c r="G16" s="29">
        <v>15000</v>
      </c>
    </row>
    <row r="17" spans="1:19" s="10" customFormat="1" x14ac:dyDescent="0.3">
      <c r="A17" s="10" t="s">
        <v>0</v>
      </c>
      <c r="B17" s="10" t="s">
        <v>77</v>
      </c>
      <c r="C17" s="10">
        <v>1090542</v>
      </c>
      <c r="D17" s="10" t="s">
        <v>2189</v>
      </c>
      <c r="E17" s="10" t="s">
        <v>34</v>
      </c>
      <c r="F17" s="10" t="s">
        <v>51</v>
      </c>
      <c r="G17" s="29">
        <v>18000</v>
      </c>
    </row>
    <row r="18" spans="1:19" s="10" customFormat="1" x14ac:dyDescent="0.3">
      <c r="A18" s="10" t="s">
        <v>0</v>
      </c>
      <c r="B18" s="10" t="s">
        <v>77</v>
      </c>
      <c r="C18" s="10">
        <v>1090497</v>
      </c>
      <c r="D18" s="10" t="s">
        <v>2188</v>
      </c>
      <c r="E18" s="10" t="s">
        <v>26</v>
      </c>
      <c r="F18" s="10" t="s">
        <v>54</v>
      </c>
      <c r="G18" s="29">
        <v>14000</v>
      </c>
    </row>
    <row r="19" spans="1:19" s="10" customFormat="1" x14ac:dyDescent="0.3">
      <c r="A19" s="10" t="s">
        <v>0</v>
      </c>
      <c r="B19" s="10" t="s">
        <v>1138</v>
      </c>
      <c r="C19" s="10">
        <v>1090517</v>
      </c>
      <c r="D19" s="10" t="s">
        <v>2190</v>
      </c>
      <c r="E19" s="10" t="s">
        <v>26</v>
      </c>
      <c r="F19" s="10" t="s">
        <v>61</v>
      </c>
      <c r="G19" s="29">
        <v>14000</v>
      </c>
    </row>
    <row r="20" spans="1:19" s="10" customFormat="1" x14ac:dyDescent="0.3">
      <c r="A20" s="10" t="s">
        <v>0</v>
      </c>
      <c r="B20" s="10" t="s">
        <v>2191</v>
      </c>
      <c r="C20" s="10">
        <v>1090484</v>
      </c>
      <c r="D20" s="10" t="s">
        <v>2192</v>
      </c>
      <c r="E20" s="10" t="s">
        <v>34</v>
      </c>
      <c r="F20" s="10" t="s">
        <v>1778</v>
      </c>
      <c r="G20" s="29">
        <v>36000</v>
      </c>
    </row>
    <row r="21" spans="1:19" s="10" customFormat="1" x14ac:dyDescent="0.3">
      <c r="A21" s="10" t="s">
        <v>0</v>
      </c>
      <c r="B21" s="10" t="s">
        <v>2193</v>
      </c>
      <c r="C21" s="10">
        <v>1090514</v>
      </c>
      <c r="D21" s="10" t="s">
        <v>2194</v>
      </c>
      <c r="E21" s="10" t="s">
        <v>26</v>
      </c>
      <c r="F21" s="10" t="s">
        <v>74</v>
      </c>
      <c r="G21" s="29">
        <v>20000</v>
      </c>
    </row>
    <row r="22" spans="1:19" s="10" customFormat="1" x14ac:dyDescent="0.3">
      <c r="A22" s="10" t="s">
        <v>0</v>
      </c>
      <c r="B22" s="10" t="s">
        <v>72</v>
      </c>
      <c r="C22" s="10">
        <v>1090495</v>
      </c>
      <c r="D22" s="10" t="s">
        <v>2195</v>
      </c>
      <c r="E22" s="10" t="s">
        <v>60</v>
      </c>
      <c r="F22" s="10" t="s">
        <v>74</v>
      </c>
      <c r="G22" s="29">
        <v>18000</v>
      </c>
    </row>
    <row r="23" spans="1:19" s="10" customFormat="1" x14ac:dyDescent="0.3">
      <c r="A23" s="10" t="s">
        <v>0</v>
      </c>
      <c r="B23" s="10" t="s">
        <v>1794</v>
      </c>
      <c r="C23" s="10">
        <v>1090504</v>
      </c>
      <c r="D23" s="10" t="s">
        <v>2196</v>
      </c>
      <c r="E23" s="10" t="s">
        <v>26</v>
      </c>
      <c r="F23" s="10" t="s">
        <v>39</v>
      </c>
      <c r="G23" s="29">
        <v>20000</v>
      </c>
    </row>
    <row r="24" spans="1:19" s="23" customFormat="1" x14ac:dyDescent="0.3">
      <c r="A24" s="10" t="s">
        <v>0</v>
      </c>
      <c r="B24" s="10" t="s">
        <v>2197</v>
      </c>
      <c r="C24" s="10">
        <v>1090560</v>
      </c>
      <c r="D24" s="10" t="s">
        <v>2198</v>
      </c>
      <c r="E24" s="10" t="s">
        <v>34</v>
      </c>
      <c r="F24" s="10" t="s">
        <v>84</v>
      </c>
      <c r="G24" s="29">
        <v>18000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s="10" customFormat="1" x14ac:dyDescent="0.3">
      <c r="A25" s="10" t="s">
        <v>0</v>
      </c>
      <c r="B25" s="10" t="s">
        <v>283</v>
      </c>
      <c r="C25" s="10">
        <v>1090491</v>
      </c>
      <c r="D25" s="10" t="s">
        <v>2199</v>
      </c>
      <c r="E25" s="10" t="s">
        <v>26</v>
      </c>
      <c r="F25" s="10" t="s">
        <v>45</v>
      </c>
      <c r="G25" s="29">
        <v>25000</v>
      </c>
    </row>
    <row r="26" spans="1:19" s="10" customFormat="1" x14ac:dyDescent="0.3">
      <c r="A26" s="10" t="s">
        <v>0</v>
      </c>
      <c r="B26" s="10" t="s">
        <v>2200</v>
      </c>
      <c r="C26" s="10">
        <v>1090505</v>
      </c>
      <c r="D26" s="10" t="s">
        <v>2201</v>
      </c>
      <c r="E26" s="10" t="s">
        <v>26</v>
      </c>
      <c r="F26" s="10" t="s">
        <v>793</v>
      </c>
      <c r="G26" s="29">
        <v>20000</v>
      </c>
    </row>
    <row r="27" spans="1:19" s="10" customFormat="1" x14ac:dyDescent="0.3">
      <c r="A27" s="10" t="s">
        <v>0</v>
      </c>
      <c r="B27" s="10" t="s">
        <v>271</v>
      </c>
      <c r="C27" s="10">
        <v>1090482</v>
      </c>
      <c r="D27" s="10" t="s">
        <v>2202</v>
      </c>
      <c r="E27" s="10" t="s">
        <v>26</v>
      </c>
      <c r="F27" s="10" t="s">
        <v>104</v>
      </c>
      <c r="G27" s="29">
        <v>3000</v>
      </c>
    </row>
    <row r="28" spans="1:19" s="10" customFormat="1" x14ac:dyDescent="0.3">
      <c r="A28" s="10" t="s">
        <v>0</v>
      </c>
      <c r="B28" s="10" t="s">
        <v>77</v>
      </c>
      <c r="C28" s="10">
        <v>1090541</v>
      </c>
      <c r="D28" s="10" t="s">
        <v>2203</v>
      </c>
      <c r="E28" s="10" t="s">
        <v>26</v>
      </c>
      <c r="F28" s="10" t="s">
        <v>104</v>
      </c>
      <c r="G28" s="29">
        <v>3000</v>
      </c>
    </row>
    <row r="29" spans="1:19" s="10" customFormat="1" x14ac:dyDescent="0.3">
      <c r="A29" s="10" t="s">
        <v>0</v>
      </c>
      <c r="B29" s="10" t="s">
        <v>1422</v>
      </c>
      <c r="C29" s="10">
        <v>1090507</v>
      </c>
      <c r="D29" s="10" t="s">
        <v>2204</v>
      </c>
      <c r="E29" s="10" t="s">
        <v>26</v>
      </c>
      <c r="F29" s="10" t="s">
        <v>104</v>
      </c>
      <c r="G29" s="29">
        <v>3000</v>
      </c>
    </row>
    <row r="30" spans="1:19" s="10" customFormat="1" x14ac:dyDescent="0.3">
      <c r="A30" s="10" t="s">
        <v>0</v>
      </c>
      <c r="B30" s="10" t="s">
        <v>1930</v>
      </c>
      <c r="C30" s="10">
        <v>1090548</v>
      </c>
      <c r="D30" s="10" t="s">
        <v>2184</v>
      </c>
      <c r="E30" s="10" t="s">
        <v>26</v>
      </c>
      <c r="F30" s="10" t="s">
        <v>104</v>
      </c>
      <c r="G30" s="29">
        <v>3000</v>
      </c>
    </row>
    <row r="31" spans="1:19" s="10" customFormat="1" x14ac:dyDescent="0.3">
      <c r="A31" s="10" t="s">
        <v>0</v>
      </c>
      <c r="B31" s="10" t="s">
        <v>935</v>
      </c>
      <c r="C31" s="10">
        <v>1090527</v>
      </c>
      <c r="D31" s="10" t="s">
        <v>2205</v>
      </c>
      <c r="E31" s="10" t="s">
        <v>64</v>
      </c>
      <c r="F31" s="10" t="s">
        <v>104</v>
      </c>
      <c r="G31" s="29">
        <v>4000</v>
      </c>
    </row>
    <row r="32" spans="1:19" s="10" customFormat="1" x14ac:dyDescent="0.3">
      <c r="A32" s="10" t="s">
        <v>0</v>
      </c>
      <c r="B32" s="10" t="s">
        <v>694</v>
      </c>
      <c r="C32" s="10">
        <v>1090532</v>
      </c>
      <c r="D32" s="10" t="s">
        <v>2206</v>
      </c>
      <c r="E32" s="10" t="s">
        <v>160</v>
      </c>
      <c r="F32" s="10" t="s">
        <v>837</v>
      </c>
      <c r="G32" s="29">
        <v>10000</v>
      </c>
    </row>
    <row r="33" spans="1:19" s="10" customFormat="1" x14ac:dyDescent="0.3">
      <c r="A33" s="10" t="s">
        <v>0</v>
      </c>
      <c r="B33" s="10" t="s">
        <v>1408</v>
      </c>
      <c r="C33" s="10">
        <v>1090528</v>
      </c>
      <c r="D33" s="10" t="s">
        <v>2207</v>
      </c>
      <c r="E33" s="10" t="s">
        <v>26</v>
      </c>
      <c r="F33" s="10" t="s">
        <v>837</v>
      </c>
      <c r="G33" s="29">
        <v>8000</v>
      </c>
    </row>
    <row r="34" spans="1:19" s="10" customFormat="1" x14ac:dyDescent="0.3">
      <c r="A34" s="10" t="s">
        <v>0</v>
      </c>
      <c r="B34" s="10" t="s">
        <v>798</v>
      </c>
      <c r="C34" s="10">
        <v>1090478</v>
      </c>
      <c r="D34" s="10" t="s">
        <v>2208</v>
      </c>
      <c r="E34" s="10" t="s">
        <v>26</v>
      </c>
      <c r="F34" s="10" t="s">
        <v>116</v>
      </c>
      <c r="G34" s="29">
        <v>5000</v>
      </c>
    </row>
    <row r="35" spans="1:19" s="10" customFormat="1" x14ac:dyDescent="0.3">
      <c r="A35" s="10" t="s">
        <v>0</v>
      </c>
      <c r="B35" s="10" t="s">
        <v>1134</v>
      </c>
      <c r="C35" s="10">
        <v>1090490</v>
      </c>
      <c r="D35" s="10" t="s">
        <v>2190</v>
      </c>
      <c r="E35" s="10" t="s">
        <v>26</v>
      </c>
      <c r="F35" s="10" t="s">
        <v>116</v>
      </c>
      <c r="G35" s="29">
        <v>5000</v>
      </c>
    </row>
    <row r="36" spans="1:19" s="10" customFormat="1" x14ac:dyDescent="0.3">
      <c r="A36" s="10" t="s">
        <v>0</v>
      </c>
      <c r="B36" s="10" t="s">
        <v>1188</v>
      </c>
      <c r="C36" s="10">
        <v>1090496</v>
      </c>
      <c r="D36" s="10" t="s">
        <v>2209</v>
      </c>
      <c r="E36" s="10" t="s">
        <v>26</v>
      </c>
      <c r="F36" s="10" t="s">
        <v>285</v>
      </c>
      <c r="G36" s="29">
        <v>4000</v>
      </c>
    </row>
    <row r="37" spans="1:19" s="10" customFormat="1" x14ac:dyDescent="0.3">
      <c r="A37" s="10" t="s">
        <v>0</v>
      </c>
      <c r="B37" s="10" t="s">
        <v>127</v>
      </c>
      <c r="C37" s="10">
        <v>1090522</v>
      </c>
      <c r="D37" s="10" t="s">
        <v>2210</v>
      </c>
      <c r="E37" s="10" t="s">
        <v>201</v>
      </c>
      <c r="F37" s="10" t="s">
        <v>124</v>
      </c>
      <c r="G37" s="29">
        <v>3800</v>
      </c>
    </row>
    <row r="38" spans="1:19" s="10" customFormat="1" x14ac:dyDescent="0.3">
      <c r="A38" s="10" t="s">
        <v>0</v>
      </c>
      <c r="B38" s="10" t="s">
        <v>122</v>
      </c>
      <c r="C38" s="10">
        <v>1090545</v>
      </c>
      <c r="D38" s="10" t="s">
        <v>2211</v>
      </c>
      <c r="E38" s="10" t="s">
        <v>26</v>
      </c>
      <c r="F38" s="10" t="s">
        <v>124</v>
      </c>
      <c r="G38" s="29">
        <v>3000</v>
      </c>
    </row>
    <row r="39" spans="1:19" s="10" customFormat="1" x14ac:dyDescent="0.3">
      <c r="A39" s="10" t="s">
        <v>0</v>
      </c>
      <c r="B39" s="10" t="s">
        <v>127</v>
      </c>
      <c r="C39" s="10">
        <v>1090519</v>
      </c>
      <c r="D39" s="10" t="s">
        <v>2212</v>
      </c>
      <c r="E39" s="10" t="s">
        <v>201</v>
      </c>
      <c r="F39" s="10" t="s">
        <v>124</v>
      </c>
      <c r="G39" s="29">
        <v>4000</v>
      </c>
    </row>
    <row r="40" spans="1:19" s="10" customFormat="1" x14ac:dyDescent="0.3">
      <c r="A40" s="10" t="s">
        <v>0</v>
      </c>
      <c r="B40" s="10" t="s">
        <v>127</v>
      </c>
      <c r="C40" s="10">
        <v>1090524</v>
      </c>
      <c r="D40" s="10" t="s">
        <v>2210</v>
      </c>
      <c r="E40" s="10" t="s">
        <v>26</v>
      </c>
      <c r="F40" s="10" t="s">
        <v>124</v>
      </c>
      <c r="G40" s="10">
        <v>200</v>
      </c>
    </row>
    <row r="41" spans="1:19" s="10" customFormat="1" x14ac:dyDescent="0.3">
      <c r="A41" s="10" t="s">
        <v>0</v>
      </c>
      <c r="B41" s="10" t="s">
        <v>127</v>
      </c>
      <c r="C41" s="10">
        <v>1090557</v>
      </c>
      <c r="D41" s="10" t="s">
        <v>2213</v>
      </c>
      <c r="E41" s="10" t="s">
        <v>198</v>
      </c>
      <c r="F41" s="10" t="s">
        <v>129</v>
      </c>
      <c r="G41" s="29">
        <v>4000</v>
      </c>
    </row>
    <row r="42" spans="1:19" s="10" customFormat="1" x14ac:dyDescent="0.3">
      <c r="A42" s="10" t="s">
        <v>0</v>
      </c>
      <c r="B42" s="10" t="s">
        <v>125</v>
      </c>
      <c r="C42" s="10">
        <v>1090534</v>
      </c>
      <c r="D42" s="10" t="s">
        <v>2214</v>
      </c>
      <c r="E42" s="10" t="s">
        <v>26</v>
      </c>
      <c r="F42" s="10" t="s">
        <v>129</v>
      </c>
      <c r="G42" s="29">
        <v>3000</v>
      </c>
    </row>
    <row r="43" spans="1:19" s="10" customFormat="1" x14ac:dyDescent="0.3">
      <c r="A43" s="10" t="s">
        <v>0</v>
      </c>
      <c r="B43" s="10" t="s">
        <v>2215</v>
      </c>
      <c r="C43" s="10">
        <v>1090536</v>
      </c>
      <c r="D43" s="10" t="s">
        <v>2216</v>
      </c>
      <c r="E43" s="10" t="s">
        <v>64</v>
      </c>
      <c r="F43" s="10" t="s">
        <v>134</v>
      </c>
      <c r="G43" s="29">
        <v>4000</v>
      </c>
    </row>
    <row r="44" spans="1:19" s="23" customFormat="1" x14ac:dyDescent="0.3">
      <c r="A44" s="10" t="s">
        <v>0</v>
      </c>
      <c r="B44" s="10" t="s">
        <v>268</v>
      </c>
      <c r="C44" s="10">
        <v>1090518</v>
      </c>
      <c r="D44" s="10" t="s">
        <v>2217</v>
      </c>
      <c r="E44" s="10" t="s">
        <v>26</v>
      </c>
      <c r="F44" s="10" t="s">
        <v>292</v>
      </c>
      <c r="G44" s="29">
        <v>3000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s="10" customFormat="1" x14ac:dyDescent="0.3">
      <c r="A45" s="10" t="s">
        <v>0</v>
      </c>
      <c r="B45" s="10" t="s">
        <v>802</v>
      </c>
      <c r="C45" s="10">
        <v>1090544</v>
      </c>
      <c r="D45" s="10" t="s">
        <v>2218</v>
      </c>
      <c r="E45" s="10" t="s">
        <v>411</v>
      </c>
      <c r="F45" s="10" t="s">
        <v>292</v>
      </c>
      <c r="G45" s="29">
        <v>4000</v>
      </c>
    </row>
    <row r="46" spans="1:19" s="10" customFormat="1" x14ac:dyDescent="0.3">
      <c r="A46" s="10" t="s">
        <v>0</v>
      </c>
      <c r="B46" s="10" t="s">
        <v>1934</v>
      </c>
      <c r="C46" s="10">
        <v>1090510</v>
      </c>
      <c r="D46" s="10" t="s">
        <v>2219</v>
      </c>
      <c r="E46" s="10" t="s">
        <v>26</v>
      </c>
      <c r="F46" s="10" t="s">
        <v>141</v>
      </c>
      <c r="G46" s="29">
        <v>5000</v>
      </c>
    </row>
    <row r="47" spans="1:19" s="10" customFormat="1" x14ac:dyDescent="0.3">
      <c r="A47" s="10" t="s">
        <v>0</v>
      </c>
      <c r="B47" s="10" t="s">
        <v>1794</v>
      </c>
      <c r="C47" s="10">
        <v>1090504</v>
      </c>
      <c r="D47" s="10" t="s">
        <v>2196</v>
      </c>
      <c r="E47" s="10" t="s">
        <v>26</v>
      </c>
      <c r="F47" s="10" t="s">
        <v>141</v>
      </c>
      <c r="G47" s="29">
        <v>5000</v>
      </c>
    </row>
    <row r="48" spans="1:19" s="10" customFormat="1" x14ac:dyDescent="0.3">
      <c r="A48" s="10" t="s">
        <v>0</v>
      </c>
      <c r="B48" s="10" t="s">
        <v>2220</v>
      </c>
      <c r="C48" s="10">
        <v>1090551</v>
      </c>
      <c r="D48" s="10" t="s">
        <v>2221</v>
      </c>
      <c r="E48" s="10" t="s">
        <v>26</v>
      </c>
      <c r="F48" s="10" t="s">
        <v>555</v>
      </c>
      <c r="G48" s="29">
        <v>2500</v>
      </c>
    </row>
    <row r="49" spans="1:7" s="10" customFormat="1" x14ac:dyDescent="0.3">
      <c r="A49" s="10" t="s">
        <v>0</v>
      </c>
      <c r="B49" s="10" t="s">
        <v>143</v>
      </c>
      <c r="C49" s="10">
        <v>1090480</v>
      </c>
      <c r="D49" s="10" t="s">
        <v>2222</v>
      </c>
      <c r="E49" s="10" t="s">
        <v>26</v>
      </c>
      <c r="F49" s="10" t="s">
        <v>142</v>
      </c>
      <c r="G49" s="29">
        <v>2000</v>
      </c>
    </row>
    <row r="50" spans="1:7" s="10" customFormat="1" x14ac:dyDescent="0.3">
      <c r="A50" s="10" t="s">
        <v>0</v>
      </c>
      <c r="B50" s="10" t="s">
        <v>135</v>
      </c>
      <c r="C50" s="10">
        <v>1090556</v>
      </c>
      <c r="D50" s="10" t="s">
        <v>2223</v>
      </c>
      <c r="E50" s="10" t="s">
        <v>34</v>
      </c>
      <c r="F50" s="10" t="s">
        <v>231</v>
      </c>
      <c r="G50" s="29">
        <v>2500</v>
      </c>
    </row>
    <row r="51" spans="1:7" s="10" customFormat="1" x14ac:dyDescent="0.3">
      <c r="A51" s="10" t="s">
        <v>0</v>
      </c>
      <c r="B51" s="10" t="s">
        <v>135</v>
      </c>
      <c r="C51" s="10">
        <v>1090556</v>
      </c>
      <c r="D51" s="10" t="s">
        <v>2223</v>
      </c>
      <c r="E51" s="10" t="s">
        <v>34</v>
      </c>
      <c r="F51" s="10" t="s">
        <v>233</v>
      </c>
      <c r="G51" s="29">
        <v>2500</v>
      </c>
    </row>
    <row r="52" spans="1:7" s="23" customFormat="1" x14ac:dyDescent="0.3">
      <c r="A52" s="23" t="s">
        <v>9</v>
      </c>
      <c r="B52" s="23" t="s">
        <v>998</v>
      </c>
      <c r="C52" s="23">
        <v>1090540</v>
      </c>
      <c r="D52" s="23" t="s">
        <v>2224</v>
      </c>
      <c r="E52" s="23" t="s">
        <v>26</v>
      </c>
      <c r="F52" s="23" t="s">
        <v>84</v>
      </c>
      <c r="G52" s="30">
        <v>20000</v>
      </c>
    </row>
    <row r="53" spans="1:7" s="23" customFormat="1" x14ac:dyDescent="0.3">
      <c r="A53" s="23" t="s">
        <v>9</v>
      </c>
      <c r="B53" s="23" t="s">
        <v>871</v>
      </c>
      <c r="C53" s="23">
        <v>1090538</v>
      </c>
      <c r="D53" s="23" t="s">
        <v>2225</v>
      </c>
      <c r="E53" s="23" t="s">
        <v>201</v>
      </c>
      <c r="F53" s="23" t="s">
        <v>566</v>
      </c>
      <c r="G53" s="30">
        <v>10000</v>
      </c>
    </row>
    <row r="54" spans="1:7" s="23" customFormat="1" x14ac:dyDescent="0.3">
      <c r="A54" s="23" t="s">
        <v>9</v>
      </c>
      <c r="B54" s="23" t="s">
        <v>2131</v>
      </c>
      <c r="C54" s="23">
        <v>1090525</v>
      </c>
      <c r="D54" s="23" t="s">
        <v>2226</v>
      </c>
      <c r="E54" s="23" t="s">
        <v>198</v>
      </c>
      <c r="F54" s="23" t="s">
        <v>405</v>
      </c>
      <c r="G54" s="30">
        <v>15000</v>
      </c>
    </row>
    <row r="55" spans="1:7" s="23" customFormat="1" x14ac:dyDescent="0.3">
      <c r="A55" s="23" t="s">
        <v>9</v>
      </c>
      <c r="B55" s="23" t="s">
        <v>1920</v>
      </c>
      <c r="C55" s="23">
        <v>1090481</v>
      </c>
      <c r="D55" s="23" t="s">
        <v>1002</v>
      </c>
      <c r="E55" s="23" t="s">
        <v>26</v>
      </c>
      <c r="F55" s="23" t="s">
        <v>61</v>
      </c>
      <c r="G55" s="30">
        <v>14000</v>
      </c>
    </row>
    <row r="56" spans="1:7" s="23" customFormat="1" x14ac:dyDescent="0.3">
      <c r="A56" s="23" t="s">
        <v>9</v>
      </c>
      <c r="B56" s="23" t="s">
        <v>2227</v>
      </c>
      <c r="C56" s="23">
        <v>1090547</v>
      </c>
      <c r="D56" s="23" t="s">
        <v>2228</v>
      </c>
      <c r="E56" s="23" t="s">
        <v>26</v>
      </c>
      <c r="F56" s="23" t="s">
        <v>65</v>
      </c>
      <c r="G56" s="30">
        <v>12000</v>
      </c>
    </row>
    <row r="57" spans="1:7" s="23" customFormat="1" x14ac:dyDescent="0.3">
      <c r="A57" s="23" t="s">
        <v>9</v>
      </c>
      <c r="B57" s="23" t="s">
        <v>722</v>
      </c>
      <c r="C57" s="23">
        <v>1090550</v>
      </c>
      <c r="D57" s="23" t="s">
        <v>2229</v>
      </c>
      <c r="E57" s="23" t="s">
        <v>201</v>
      </c>
      <c r="F57" s="23" t="s">
        <v>65</v>
      </c>
      <c r="G57" s="30">
        <v>8000</v>
      </c>
    </row>
    <row r="58" spans="1:7" s="23" customFormat="1" x14ac:dyDescent="0.3">
      <c r="A58" s="23" t="s">
        <v>9</v>
      </c>
      <c r="B58" s="23" t="s">
        <v>180</v>
      </c>
      <c r="C58" s="23">
        <v>1090475</v>
      </c>
      <c r="D58" s="23" t="s">
        <v>2230</v>
      </c>
      <c r="E58" s="23" t="s">
        <v>26</v>
      </c>
      <c r="F58" s="23" t="s">
        <v>31</v>
      </c>
      <c r="G58" s="30">
        <v>7500</v>
      </c>
    </row>
    <row r="59" spans="1:7" s="23" customFormat="1" x14ac:dyDescent="0.3">
      <c r="A59" s="23" t="s">
        <v>9</v>
      </c>
      <c r="B59" s="23" t="s">
        <v>424</v>
      </c>
      <c r="C59" s="23">
        <v>1090516</v>
      </c>
      <c r="D59" s="23" t="s">
        <v>2231</v>
      </c>
      <c r="E59" s="23" t="s">
        <v>397</v>
      </c>
      <c r="F59" s="23" t="s">
        <v>74</v>
      </c>
      <c r="G59" s="30">
        <v>22000</v>
      </c>
    </row>
    <row r="60" spans="1:7" s="23" customFormat="1" x14ac:dyDescent="0.3">
      <c r="A60" s="23" t="s">
        <v>9</v>
      </c>
      <c r="B60" s="23" t="s">
        <v>2232</v>
      </c>
      <c r="C60" s="23">
        <v>1090501</v>
      </c>
      <c r="D60" s="23" t="s">
        <v>2233</v>
      </c>
      <c r="E60" s="23" t="s">
        <v>26</v>
      </c>
      <c r="F60" s="23" t="s">
        <v>74</v>
      </c>
      <c r="G60" s="30">
        <v>20000</v>
      </c>
    </row>
    <row r="61" spans="1:7" s="23" customFormat="1" x14ac:dyDescent="0.3">
      <c r="A61" s="23" t="s">
        <v>9</v>
      </c>
      <c r="B61" s="23" t="s">
        <v>1078</v>
      </c>
      <c r="C61" s="23">
        <v>1090549</v>
      </c>
      <c r="D61" s="23" t="s">
        <v>2234</v>
      </c>
      <c r="E61" s="23" t="s">
        <v>26</v>
      </c>
      <c r="F61" s="23" t="s">
        <v>74</v>
      </c>
      <c r="G61" s="30">
        <v>20000</v>
      </c>
    </row>
    <row r="62" spans="1:7" s="23" customFormat="1" x14ac:dyDescent="0.3">
      <c r="A62" s="23" t="s">
        <v>9</v>
      </c>
      <c r="B62" s="23" t="s">
        <v>1078</v>
      </c>
      <c r="C62" s="23">
        <v>1090549</v>
      </c>
      <c r="D62" s="23" t="s">
        <v>2234</v>
      </c>
      <c r="E62" s="23" t="s">
        <v>26</v>
      </c>
      <c r="F62" s="23" t="s">
        <v>316</v>
      </c>
      <c r="G62" s="30">
        <v>20000</v>
      </c>
    </row>
    <row r="63" spans="1:7" s="23" customFormat="1" x14ac:dyDescent="0.3">
      <c r="A63" s="23" t="s">
        <v>9</v>
      </c>
      <c r="B63" s="23" t="s">
        <v>895</v>
      </c>
      <c r="C63" s="23">
        <v>1090512</v>
      </c>
      <c r="D63" s="23" t="s">
        <v>2235</v>
      </c>
      <c r="E63" s="23" t="s">
        <v>57</v>
      </c>
      <c r="F63" s="23" t="s">
        <v>39</v>
      </c>
      <c r="G63" s="30">
        <v>18000</v>
      </c>
    </row>
    <row r="64" spans="1:7" s="23" customFormat="1" x14ac:dyDescent="0.3">
      <c r="A64" s="23" t="s">
        <v>9</v>
      </c>
      <c r="B64" s="23" t="s">
        <v>169</v>
      </c>
      <c r="C64" s="23">
        <v>1090520</v>
      </c>
      <c r="D64" s="23" t="s">
        <v>2236</v>
      </c>
      <c r="E64" s="23" t="s">
        <v>160</v>
      </c>
      <c r="F64" s="23" t="s">
        <v>39</v>
      </c>
      <c r="G64" s="30">
        <v>18000</v>
      </c>
    </row>
    <row r="65" spans="1:19" x14ac:dyDescent="0.3">
      <c r="A65" s="23" t="s">
        <v>9</v>
      </c>
      <c r="B65" s="23" t="s">
        <v>580</v>
      </c>
      <c r="C65" s="23">
        <v>1090515</v>
      </c>
      <c r="D65" s="23" t="s">
        <v>2237</v>
      </c>
      <c r="E65" s="23" t="s">
        <v>26</v>
      </c>
      <c r="F65" s="23" t="s">
        <v>84</v>
      </c>
      <c r="G65" s="30">
        <v>20000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 x14ac:dyDescent="0.3">
      <c r="A66" s="23" t="s">
        <v>9</v>
      </c>
      <c r="B66" s="23" t="s">
        <v>886</v>
      </c>
      <c r="C66" s="23">
        <v>1090513</v>
      </c>
      <c r="D66" s="23" t="s">
        <v>2238</v>
      </c>
      <c r="E66" s="23" t="s">
        <v>26</v>
      </c>
      <c r="F66" s="23" t="s">
        <v>84</v>
      </c>
      <c r="G66" s="30">
        <v>20000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spans="1:19" x14ac:dyDescent="0.3">
      <c r="A67" s="23" t="s">
        <v>9</v>
      </c>
      <c r="B67" s="23" t="s">
        <v>2239</v>
      </c>
      <c r="C67" s="23">
        <v>1090546</v>
      </c>
      <c r="D67" s="23" t="s">
        <v>2240</v>
      </c>
      <c r="E67" s="23" t="s">
        <v>26</v>
      </c>
      <c r="F67" s="23" t="s">
        <v>84</v>
      </c>
      <c r="G67" s="30">
        <v>20000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spans="1:19" x14ac:dyDescent="0.3">
      <c r="A68" s="23" t="s">
        <v>9</v>
      </c>
      <c r="B68" s="23" t="s">
        <v>471</v>
      </c>
      <c r="C68" s="23">
        <v>1090483</v>
      </c>
      <c r="D68" s="23" t="s">
        <v>2241</v>
      </c>
      <c r="E68" s="23" t="s">
        <v>64</v>
      </c>
      <c r="F68" s="23" t="s">
        <v>280</v>
      </c>
      <c r="G68" s="30">
        <v>55000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spans="1:19" x14ac:dyDescent="0.3">
      <c r="A69" s="23" t="s">
        <v>9</v>
      </c>
      <c r="B69" s="23" t="s">
        <v>1218</v>
      </c>
      <c r="C69" s="23">
        <v>1090553</v>
      </c>
      <c r="D69" s="23" t="s">
        <v>2242</v>
      </c>
      <c r="E69" s="23" t="s">
        <v>160</v>
      </c>
      <c r="F69" s="23" t="s">
        <v>104</v>
      </c>
      <c r="G69" s="30">
        <v>4000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spans="1:19" x14ac:dyDescent="0.3">
      <c r="A70" s="23" t="s">
        <v>9</v>
      </c>
      <c r="B70" s="23" t="s">
        <v>180</v>
      </c>
      <c r="C70" s="23">
        <v>1090475</v>
      </c>
      <c r="D70" s="23" t="s">
        <v>2230</v>
      </c>
      <c r="E70" s="23" t="s">
        <v>26</v>
      </c>
      <c r="F70" s="23" t="s">
        <v>116</v>
      </c>
      <c r="G70" s="30">
        <v>5000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spans="1:19" x14ac:dyDescent="0.3">
      <c r="A71" s="23" t="s">
        <v>9</v>
      </c>
      <c r="B71" s="23" t="s">
        <v>2243</v>
      </c>
      <c r="C71" s="23">
        <v>1090529</v>
      </c>
      <c r="D71" s="23" t="s">
        <v>2244</v>
      </c>
      <c r="E71" s="23" t="s">
        <v>26</v>
      </c>
      <c r="F71" s="23" t="s">
        <v>119</v>
      </c>
      <c r="G71" s="30">
        <v>3000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spans="1:19" x14ac:dyDescent="0.3">
      <c r="A72" s="23" t="s">
        <v>9</v>
      </c>
      <c r="B72" s="23" t="s">
        <v>169</v>
      </c>
      <c r="C72" s="23">
        <v>1090523</v>
      </c>
      <c r="D72" s="23" t="s">
        <v>2245</v>
      </c>
      <c r="E72" s="23" t="s">
        <v>160</v>
      </c>
      <c r="F72" s="23" t="s">
        <v>550</v>
      </c>
      <c r="G72" s="30">
        <v>4000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spans="1:19" s="23" customFormat="1" x14ac:dyDescent="0.3">
      <c r="A73" s="23" t="s">
        <v>9</v>
      </c>
      <c r="B73" s="23" t="s">
        <v>895</v>
      </c>
      <c r="C73" s="23">
        <v>1090511</v>
      </c>
      <c r="D73" s="23" t="s">
        <v>2246</v>
      </c>
      <c r="E73" s="23" t="s">
        <v>26</v>
      </c>
      <c r="F73" s="23" t="s">
        <v>220</v>
      </c>
      <c r="G73" s="30">
        <v>2000</v>
      </c>
    </row>
    <row r="74" spans="1:19" s="23" customFormat="1" x14ac:dyDescent="0.3">
      <c r="A74" s="23" t="s">
        <v>9</v>
      </c>
      <c r="B74" s="23" t="s">
        <v>1567</v>
      </c>
      <c r="C74" s="23">
        <v>1090552</v>
      </c>
      <c r="D74" s="23" t="s">
        <v>2247</v>
      </c>
      <c r="E74" s="23" t="s">
        <v>26</v>
      </c>
      <c r="F74" s="23" t="s">
        <v>184</v>
      </c>
      <c r="G74" s="30">
        <v>2500</v>
      </c>
    </row>
    <row r="75" spans="1:19" s="23" customFormat="1" x14ac:dyDescent="0.3">
      <c r="A75" s="23" t="s">
        <v>9</v>
      </c>
      <c r="B75" s="23" t="s">
        <v>1646</v>
      </c>
      <c r="C75" s="23">
        <v>1090543</v>
      </c>
      <c r="D75" s="23" t="s">
        <v>2248</v>
      </c>
      <c r="E75" s="23" t="s">
        <v>26</v>
      </c>
      <c r="F75" s="23" t="s">
        <v>184</v>
      </c>
      <c r="G75" s="30">
        <v>2500</v>
      </c>
    </row>
    <row r="76" spans="1:19" s="23" customFormat="1" x14ac:dyDescent="0.3">
      <c r="A76" s="23" t="s">
        <v>9</v>
      </c>
      <c r="B76" s="23" t="s">
        <v>1646</v>
      </c>
      <c r="C76" s="23">
        <v>1090531</v>
      </c>
      <c r="D76" s="23" t="s">
        <v>2249</v>
      </c>
      <c r="E76" s="23" t="s">
        <v>26</v>
      </c>
      <c r="F76" s="23" t="s">
        <v>184</v>
      </c>
      <c r="G76" s="30">
        <v>2500</v>
      </c>
    </row>
    <row r="77" spans="1:19" x14ac:dyDescent="0.3">
      <c r="A77" s="23" t="s">
        <v>9</v>
      </c>
      <c r="B77" s="23" t="s">
        <v>2250</v>
      </c>
      <c r="C77" s="23">
        <v>1090508</v>
      </c>
      <c r="D77" s="23" t="s">
        <v>2251</v>
      </c>
      <c r="E77" s="23" t="s">
        <v>26</v>
      </c>
      <c r="F77" s="23" t="s">
        <v>184</v>
      </c>
      <c r="G77" s="30">
        <v>2500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1:19" x14ac:dyDescent="0.3">
      <c r="A78" t="s">
        <v>746</v>
      </c>
      <c r="B78" t="s">
        <v>189</v>
      </c>
      <c r="C78">
        <v>1090554</v>
      </c>
      <c r="D78" t="s">
        <v>2252</v>
      </c>
      <c r="E78" t="s">
        <v>26</v>
      </c>
      <c r="F78" t="s">
        <v>71</v>
      </c>
      <c r="G78" s="31">
        <v>6500</v>
      </c>
    </row>
    <row r="79" spans="1:19" x14ac:dyDescent="0.3">
      <c r="A79" t="s">
        <v>185</v>
      </c>
      <c r="B79" t="s">
        <v>186</v>
      </c>
      <c r="C79">
        <v>1090506</v>
      </c>
      <c r="D79" t="s">
        <v>2253</v>
      </c>
      <c r="E79" t="s">
        <v>201</v>
      </c>
      <c r="F79" t="s">
        <v>35</v>
      </c>
      <c r="G79" s="31">
        <v>21000</v>
      </c>
    </row>
    <row r="80" spans="1:19" x14ac:dyDescent="0.3">
      <c r="A80" t="s">
        <v>185</v>
      </c>
      <c r="B80" t="s">
        <v>186</v>
      </c>
      <c r="C80">
        <v>1090539</v>
      </c>
      <c r="D80" t="s">
        <v>2254</v>
      </c>
      <c r="E80" t="s">
        <v>26</v>
      </c>
      <c r="F80" t="s">
        <v>35</v>
      </c>
      <c r="G80" s="31">
        <v>20000</v>
      </c>
    </row>
    <row r="81" spans="1:7" x14ac:dyDescent="0.3">
      <c r="A81" t="s">
        <v>185</v>
      </c>
      <c r="B81" t="s">
        <v>186</v>
      </c>
      <c r="C81">
        <v>1090539</v>
      </c>
      <c r="D81" t="s">
        <v>2254</v>
      </c>
      <c r="E81" t="s">
        <v>26</v>
      </c>
      <c r="F81" t="s">
        <v>394</v>
      </c>
      <c r="G81" s="31">
        <v>40000</v>
      </c>
    </row>
    <row r="82" spans="1:7" x14ac:dyDescent="0.3">
      <c r="A82" t="s">
        <v>185</v>
      </c>
      <c r="B82" t="s">
        <v>610</v>
      </c>
      <c r="C82">
        <v>1090555</v>
      </c>
      <c r="D82" t="s">
        <v>2255</v>
      </c>
      <c r="E82" t="s">
        <v>160</v>
      </c>
      <c r="F82" t="s">
        <v>45</v>
      </c>
      <c r="G82" s="31">
        <v>20000</v>
      </c>
    </row>
    <row r="83" spans="1:7" x14ac:dyDescent="0.3">
      <c r="A83" t="s">
        <v>185</v>
      </c>
      <c r="B83" t="s">
        <v>902</v>
      </c>
      <c r="C83">
        <v>1090533</v>
      </c>
      <c r="D83" t="s">
        <v>2256</v>
      </c>
      <c r="E83" t="s">
        <v>198</v>
      </c>
      <c r="F83" t="s">
        <v>168</v>
      </c>
      <c r="G83" s="31">
        <v>24000</v>
      </c>
    </row>
    <row r="84" spans="1:7" x14ac:dyDescent="0.3">
      <c r="A84" t="s">
        <v>185</v>
      </c>
      <c r="B84" t="s">
        <v>205</v>
      </c>
      <c r="C84">
        <v>1090479</v>
      </c>
      <c r="D84" t="s">
        <v>2257</v>
      </c>
      <c r="E84" t="s">
        <v>26</v>
      </c>
      <c r="F84" t="s">
        <v>124</v>
      </c>
      <c r="G84" s="31">
        <v>3000</v>
      </c>
    </row>
    <row r="85" spans="1:7" x14ac:dyDescent="0.3">
      <c r="A85" t="s">
        <v>185</v>
      </c>
      <c r="B85" t="s">
        <v>189</v>
      </c>
      <c r="C85">
        <v>1090489</v>
      </c>
      <c r="D85" t="s">
        <v>2258</v>
      </c>
      <c r="E85" t="s">
        <v>26</v>
      </c>
      <c r="F85" t="s">
        <v>124</v>
      </c>
      <c r="G85" s="31">
        <v>3000</v>
      </c>
    </row>
    <row r="86" spans="1:7" x14ac:dyDescent="0.3">
      <c r="A86" t="s">
        <v>185</v>
      </c>
      <c r="B86" t="s">
        <v>330</v>
      </c>
      <c r="C86">
        <v>1090494</v>
      </c>
      <c r="D86" t="s">
        <v>2259</v>
      </c>
      <c r="E86" t="s">
        <v>26</v>
      </c>
      <c r="F86" t="s">
        <v>124</v>
      </c>
      <c r="G86" s="31">
        <v>3000</v>
      </c>
    </row>
    <row r="87" spans="1:7" x14ac:dyDescent="0.3">
      <c r="A87" t="s">
        <v>185</v>
      </c>
      <c r="B87" t="s">
        <v>205</v>
      </c>
      <c r="C87">
        <v>1090493</v>
      </c>
      <c r="D87" t="s">
        <v>2260</v>
      </c>
      <c r="E87" t="s">
        <v>26</v>
      </c>
      <c r="F87" t="s">
        <v>134</v>
      </c>
      <c r="G87" s="31">
        <v>4000</v>
      </c>
    </row>
    <row r="88" spans="1:7" x14ac:dyDescent="0.3">
      <c r="A88" t="s">
        <v>185</v>
      </c>
      <c r="B88" t="s">
        <v>330</v>
      </c>
      <c r="C88">
        <v>1090488</v>
      </c>
      <c r="D88" t="s">
        <v>2261</v>
      </c>
      <c r="E88" t="s">
        <v>26</v>
      </c>
      <c r="F88" t="s">
        <v>134</v>
      </c>
      <c r="G88" s="31">
        <v>4000</v>
      </c>
    </row>
    <row r="89" spans="1:7" x14ac:dyDescent="0.3">
      <c r="A89" t="s">
        <v>185</v>
      </c>
      <c r="B89" t="s">
        <v>330</v>
      </c>
      <c r="C89">
        <v>1090502</v>
      </c>
      <c r="D89" t="s">
        <v>2262</v>
      </c>
      <c r="E89" t="s">
        <v>26</v>
      </c>
      <c r="F89" t="s">
        <v>207</v>
      </c>
      <c r="G89" s="31">
        <v>3000</v>
      </c>
    </row>
    <row r="90" spans="1:7" x14ac:dyDescent="0.3">
      <c r="A90" t="s">
        <v>185</v>
      </c>
      <c r="B90" t="s">
        <v>186</v>
      </c>
      <c r="C90">
        <v>1090500</v>
      </c>
      <c r="D90" t="s">
        <v>2263</v>
      </c>
      <c r="E90" t="s">
        <v>60</v>
      </c>
      <c r="F90" t="s">
        <v>141</v>
      </c>
      <c r="G90" s="31">
        <v>2500</v>
      </c>
    </row>
    <row r="91" spans="1:7" x14ac:dyDescent="0.3">
      <c r="A91" t="s">
        <v>185</v>
      </c>
      <c r="B91" t="s">
        <v>186</v>
      </c>
      <c r="C91">
        <v>1090539</v>
      </c>
      <c r="D91" t="s">
        <v>2254</v>
      </c>
      <c r="E91" t="s">
        <v>26</v>
      </c>
      <c r="F91" t="s">
        <v>141</v>
      </c>
      <c r="G91" s="31">
        <v>5000</v>
      </c>
    </row>
    <row r="92" spans="1:7" x14ac:dyDescent="0.3">
      <c r="A92" t="s">
        <v>185</v>
      </c>
      <c r="B92" t="s">
        <v>189</v>
      </c>
      <c r="C92">
        <v>1090503</v>
      </c>
      <c r="D92" t="s">
        <v>2264</v>
      </c>
      <c r="E92" t="s">
        <v>26</v>
      </c>
      <c r="F92" t="s">
        <v>605</v>
      </c>
      <c r="G92" s="31">
        <v>5000</v>
      </c>
    </row>
    <row r="93" spans="1:7" x14ac:dyDescent="0.3">
      <c r="A93" t="s">
        <v>185</v>
      </c>
      <c r="B93" t="s">
        <v>186</v>
      </c>
      <c r="C93">
        <v>1090498</v>
      </c>
      <c r="D93" t="s">
        <v>2265</v>
      </c>
      <c r="E93" t="s">
        <v>34</v>
      </c>
      <c r="F93" t="s">
        <v>226</v>
      </c>
      <c r="G93" s="31">
        <v>1800</v>
      </c>
    </row>
    <row r="94" spans="1:7" x14ac:dyDescent="0.3">
      <c r="A94" t="s">
        <v>185</v>
      </c>
      <c r="B94" t="s">
        <v>186</v>
      </c>
      <c r="C94">
        <v>1090486</v>
      </c>
      <c r="D94" t="s">
        <v>2266</v>
      </c>
      <c r="E94" t="s">
        <v>64</v>
      </c>
      <c r="F94" t="s">
        <v>226</v>
      </c>
      <c r="G94" s="31">
        <v>1800</v>
      </c>
    </row>
    <row r="95" spans="1:7" x14ac:dyDescent="0.3">
      <c r="A95" t="s">
        <v>185</v>
      </c>
      <c r="B95" t="s">
        <v>186</v>
      </c>
      <c r="C95">
        <v>1090506</v>
      </c>
      <c r="D95" t="s">
        <v>2253</v>
      </c>
      <c r="E95" t="s">
        <v>201</v>
      </c>
      <c r="F95" t="s">
        <v>226</v>
      </c>
      <c r="G95" s="31">
        <v>1800</v>
      </c>
    </row>
    <row r="96" spans="1:7" x14ac:dyDescent="0.3">
      <c r="A96" t="s">
        <v>185</v>
      </c>
      <c r="B96" t="s">
        <v>487</v>
      </c>
      <c r="C96">
        <v>1090521</v>
      </c>
      <c r="D96" t="s">
        <v>2267</v>
      </c>
      <c r="E96" t="s">
        <v>201</v>
      </c>
      <c r="F96" t="s">
        <v>229</v>
      </c>
      <c r="G96" s="31">
        <v>1800</v>
      </c>
    </row>
    <row r="97" spans="1:19" x14ac:dyDescent="0.3">
      <c r="A97" t="s">
        <v>185</v>
      </c>
      <c r="B97" t="s">
        <v>189</v>
      </c>
      <c r="C97">
        <v>1090503</v>
      </c>
      <c r="D97" t="s">
        <v>2264</v>
      </c>
      <c r="E97" t="s">
        <v>26</v>
      </c>
      <c r="F97" t="s">
        <v>233</v>
      </c>
      <c r="G97" s="31">
        <v>2500</v>
      </c>
    </row>
    <row r="98" spans="1:19" s="18" customFormat="1" x14ac:dyDescent="0.3">
      <c r="A98" t="s">
        <v>185</v>
      </c>
      <c r="B98" t="s">
        <v>186</v>
      </c>
      <c r="C98">
        <v>1090486</v>
      </c>
      <c r="D98" t="s">
        <v>2266</v>
      </c>
      <c r="E98" t="s">
        <v>64</v>
      </c>
      <c r="F98" t="s">
        <v>233</v>
      </c>
      <c r="G98" s="31">
        <v>2500</v>
      </c>
      <c r="H98"/>
      <c r="I98"/>
      <c r="J98"/>
      <c r="K98"/>
      <c r="L98"/>
      <c r="M98"/>
      <c r="N98"/>
      <c r="O98"/>
      <c r="P98"/>
      <c r="Q98"/>
      <c r="R98"/>
      <c r="S9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workbookViewId="0">
      <selection activeCell="C14" sqref="C13:C14"/>
    </sheetView>
  </sheetViews>
  <sheetFormatPr defaultRowHeight="14.4" x14ac:dyDescent="0.3"/>
  <cols>
    <col min="1" max="1" width="15.77734375" customWidth="1"/>
    <col min="2" max="2" width="15.44140625" customWidth="1"/>
    <col min="3" max="3" width="18.77734375" customWidth="1"/>
    <col min="5" max="5" width="8.77734375" style="2"/>
  </cols>
  <sheetData>
    <row r="2" spans="1:5" x14ac:dyDescent="0.3">
      <c r="A2" s="1" t="s">
        <v>2268</v>
      </c>
    </row>
    <row r="4" spans="1:5" x14ac:dyDescent="0.3">
      <c r="A4" t="s">
        <v>0</v>
      </c>
      <c r="B4" t="s">
        <v>1</v>
      </c>
      <c r="C4" t="s">
        <v>2</v>
      </c>
      <c r="D4" t="s">
        <v>3</v>
      </c>
      <c r="E4" s="2" t="s">
        <v>4</v>
      </c>
    </row>
    <row r="5" spans="1:5" x14ac:dyDescent="0.3">
      <c r="A5" t="s">
        <v>5</v>
      </c>
      <c r="B5">
        <v>14</v>
      </c>
      <c r="C5">
        <v>77</v>
      </c>
      <c r="E5" s="2">
        <f>D5/C5</f>
        <v>0</v>
      </c>
    </row>
    <row r="6" spans="1:5" x14ac:dyDescent="0.3">
      <c r="A6" t="s">
        <v>6</v>
      </c>
      <c r="B6">
        <v>13</v>
      </c>
      <c r="C6">
        <v>72</v>
      </c>
      <c r="E6" s="2">
        <f>D6/C6</f>
        <v>0</v>
      </c>
    </row>
    <row r="7" spans="1:5" x14ac:dyDescent="0.3">
      <c r="A7" t="s">
        <v>7</v>
      </c>
      <c r="B7">
        <v>15</v>
      </c>
      <c r="C7">
        <v>83</v>
      </c>
      <c r="E7" s="2">
        <f>D7/C7</f>
        <v>0</v>
      </c>
    </row>
    <row r="8" spans="1:5" x14ac:dyDescent="0.3">
      <c r="A8" t="s">
        <v>8</v>
      </c>
      <c r="B8">
        <v>18</v>
      </c>
      <c r="C8">
        <v>99</v>
      </c>
      <c r="E8" s="2">
        <f>D8/C8</f>
        <v>0</v>
      </c>
    </row>
    <row r="10" spans="1:5" x14ac:dyDescent="0.3">
      <c r="A10" t="s">
        <v>9</v>
      </c>
      <c r="B10" t="s">
        <v>10</v>
      </c>
      <c r="D10" t="s">
        <v>3</v>
      </c>
      <c r="E10" s="2" t="s">
        <v>4</v>
      </c>
    </row>
    <row r="11" spans="1:5" x14ac:dyDescent="0.3">
      <c r="A11" t="s">
        <v>5</v>
      </c>
      <c r="B11">
        <v>7</v>
      </c>
      <c r="C11">
        <v>39</v>
      </c>
      <c r="E11" s="2">
        <f>D11/C11</f>
        <v>0</v>
      </c>
    </row>
    <row r="12" spans="1:5" x14ac:dyDescent="0.3">
      <c r="A12" t="s">
        <v>6</v>
      </c>
      <c r="B12">
        <v>6</v>
      </c>
      <c r="C12">
        <v>33</v>
      </c>
      <c r="E12" s="2">
        <f>D12/C12</f>
        <v>0</v>
      </c>
    </row>
    <row r="13" spans="1:5" x14ac:dyDescent="0.3">
      <c r="A13" t="s">
        <v>7</v>
      </c>
      <c r="B13">
        <v>5</v>
      </c>
      <c r="C13">
        <v>28</v>
      </c>
      <c r="E13" s="2">
        <f>D13/C13</f>
        <v>0</v>
      </c>
    </row>
    <row r="14" spans="1:5" x14ac:dyDescent="0.3">
      <c r="A14" t="s">
        <v>8</v>
      </c>
      <c r="B14">
        <v>7</v>
      </c>
      <c r="C14">
        <v>39</v>
      </c>
      <c r="E14" s="2">
        <f>D14/C14</f>
        <v>0</v>
      </c>
    </row>
    <row r="17" spans="1:5" x14ac:dyDescent="0.3">
      <c r="A17" t="s">
        <v>11</v>
      </c>
      <c r="B17" t="s">
        <v>10</v>
      </c>
      <c r="D17" t="s">
        <v>3</v>
      </c>
      <c r="E17" s="2" t="s">
        <v>4</v>
      </c>
    </row>
    <row r="18" spans="1:5" x14ac:dyDescent="0.3">
      <c r="A18" t="s">
        <v>5</v>
      </c>
      <c r="B18">
        <v>6</v>
      </c>
      <c r="C18">
        <v>33</v>
      </c>
      <c r="D18" s="54"/>
      <c r="E18" s="2">
        <f>D18/C18</f>
        <v>0</v>
      </c>
    </row>
    <row r="19" spans="1:5" x14ac:dyDescent="0.3">
      <c r="A19" t="s">
        <v>6</v>
      </c>
      <c r="B19">
        <v>5</v>
      </c>
      <c r="C19">
        <v>28</v>
      </c>
      <c r="D19" s="54"/>
      <c r="E19" s="2">
        <f>D19/C19</f>
        <v>0</v>
      </c>
    </row>
    <row r="20" spans="1:5" x14ac:dyDescent="0.3">
      <c r="A20" t="s">
        <v>7</v>
      </c>
      <c r="B20">
        <v>5</v>
      </c>
      <c r="C20">
        <v>28</v>
      </c>
      <c r="D20" s="54"/>
      <c r="E20" s="2">
        <f>D20/C20</f>
        <v>0</v>
      </c>
    </row>
    <row r="21" spans="1:5" x14ac:dyDescent="0.3">
      <c r="A21" t="s">
        <v>8</v>
      </c>
      <c r="B21">
        <v>5</v>
      </c>
      <c r="C21">
        <v>28</v>
      </c>
      <c r="D21" s="54"/>
      <c r="E21" s="2">
        <f>D21/C21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APRI 1</vt:lpstr>
      <vt:lpstr>2ND</vt:lpstr>
      <vt:lpstr>3RD</vt:lpstr>
      <vt:lpstr>4TH</vt:lpstr>
      <vt:lpstr>MARKETRES WK1</vt:lpstr>
      <vt:lpstr>6TH</vt:lpstr>
      <vt:lpstr>7TH</vt:lpstr>
      <vt:lpstr>8TH</vt:lpstr>
      <vt:lpstr>9TH</vt:lpstr>
      <vt:lpstr>10TH</vt:lpstr>
      <vt:lpstr>11TH</vt:lpstr>
      <vt:lpstr>MARKETERS WK2</vt:lpstr>
      <vt:lpstr>13TH</vt:lpstr>
      <vt:lpstr>14TH</vt:lpstr>
      <vt:lpstr>15TH</vt:lpstr>
      <vt:lpstr>16TH</vt:lpstr>
      <vt:lpstr>17TH</vt:lpstr>
      <vt:lpstr>18TH</vt:lpstr>
      <vt:lpstr>MARKETERS WK3</vt:lpstr>
      <vt:lpstr>20TH</vt:lpstr>
      <vt:lpstr>Sheet1</vt:lpstr>
      <vt:lpstr>21ST</vt:lpstr>
      <vt:lpstr>22ND</vt:lpstr>
      <vt:lpstr>23RD</vt:lpstr>
      <vt:lpstr>24TH</vt:lpstr>
      <vt:lpstr>25TH</vt:lpstr>
      <vt:lpstr>MARKETING WK4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</dc:creator>
  <cp:lastModifiedBy>PC</cp:lastModifiedBy>
  <dcterms:created xsi:type="dcterms:W3CDTF">2026-04-13T05:08:52Z</dcterms:created>
  <dcterms:modified xsi:type="dcterms:W3CDTF">2026-04-27T12:25:09Z</dcterms:modified>
</cp:coreProperties>
</file>